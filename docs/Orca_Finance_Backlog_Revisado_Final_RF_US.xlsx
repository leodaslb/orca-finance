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leonardo_da_silva_lopes_bezerra_ericsson_com/Documents/Desktop/fatec/4Semestre/mobile/"/>
    </mc:Choice>
  </mc:AlternateContent>
  <xr:revisionPtr revIDLastSave="31" documentId="11_5763804A5D582D7881869100FE78651D05548A4C" xr6:coauthVersionLast="47" xr6:coauthVersionMax="47" xr10:uidLastSave="{3AB01731-3F59-4130-A7B4-F341D3CF4336}"/>
  <bookViews>
    <workbookView xWindow="-108" yWindow="-108" windowWidth="23256" windowHeight="12456" activeTab="2" xr2:uid="{00000000-000D-0000-FFFF-FFFF00000000}"/>
  </bookViews>
  <sheets>
    <sheet name="Resumo" sheetId="1" r:id="rId1"/>
    <sheet name="Épicos" sheetId="2" r:id="rId2"/>
    <sheet name="Sprints" sheetId="7" r:id="rId3"/>
    <sheet name="Backlog Revisado" sheetId="3" r:id="rId4"/>
    <sheet name="US → RF" sheetId="4" r:id="rId5"/>
    <sheet name="RF → US" sheetId="5" r:id="rId6"/>
    <sheet name="Dependência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<sst xmlns="http://schemas.openxmlformats.org/spreadsheetml/2006/main" count="2429" uniqueCount="606">
  <si>
    <t>Orça Finance — Backlog Revisado Final | Épico → US → RF</t>
  </si>
  <si>
    <t>Consolidação estrutural do backlog. Não inclui distribuição por sprint, tasks técnicas ou critérios de aceitação detalhados.</t>
  </si>
  <si>
    <t>Indicador</t>
  </si>
  <si>
    <t>Valor</t>
  </si>
  <si>
    <t>Épico</t>
  </si>
  <si>
    <t>Qtd. US</t>
  </si>
  <si>
    <t>Quantidade final de Épicos</t>
  </si>
  <si>
    <t>Transações e Organização Financeira</t>
  </si>
  <si>
    <t>Quantidade final de User Stories</t>
  </si>
  <si>
    <t>Orçamentos e Regras de Gastos</t>
  </si>
  <si>
    <t>Total de RFs</t>
  </si>
  <si>
    <t>Metas, Desafios e Consumo Consciente</t>
  </si>
  <si>
    <t>RFs cobertos</t>
  </si>
  <si>
    <t>Análises, Relatórios e Indicadores</t>
  </si>
  <si>
    <t>RFs sem cobertura</t>
  </si>
  <si>
    <t>Planejamento e Simulação Financeira</t>
  </si>
  <si>
    <t>RFs com cobertura múltipla</t>
  </si>
  <si>
    <t>Automação, Recorrência e Entrada Assistida</t>
  </si>
  <si>
    <t>US criadas</t>
  </si>
  <si>
    <t>Perfis, Sincronização, Segurança e Experiência</t>
  </si>
  <si>
    <t>US divididas</t>
  </si>
  <si>
    <t>Educação e Conteúdo Financeiro</t>
  </si>
  <si>
    <t>US unificadas/removidas</t>
  </si>
  <si>
    <t>Decisões pendentes identificadas</t>
  </si>
  <si>
    <t>Validação automática</t>
  </si>
  <si>
    <t>Resultado</t>
  </si>
  <si>
    <t>Detalhe</t>
  </si>
  <si>
    <t>71 RFs originais</t>
  </si>
  <si>
    <t>OK</t>
  </si>
  <si>
    <t>Validado por script antes da geração do arquivo</t>
  </si>
  <si>
    <t>RF01-RF71 cobertos</t>
  </si>
  <si>
    <t>Nenhuma US sem RF</t>
  </si>
  <si>
    <t>Cada US em um Épico válido</t>
  </si>
  <si>
    <t>Dependências apontam para US existentes</t>
  </si>
  <si>
    <t>IDs de US sem duplicidade</t>
  </si>
  <si>
    <t>Nenhum RF inexistente associado</t>
  </si>
  <si>
    <t>Mudanças relevantes justificadas</t>
  </si>
  <si>
    <t>RF principal único</t>
  </si>
  <si>
    <t>Única cobertura múltipla justificada</t>
  </si>
  <si>
    <t>Decisões estruturais desta revisão</t>
  </si>
  <si>
    <t>Motivo resumido</t>
  </si>
  <si>
    <t>US10</t>
  </si>
  <si>
    <t>Dividida em US10 + US58</t>
  </si>
  <si>
    <t>Meta operacional e indicador histórico têm critérios/cálculos distintos.</t>
  </si>
  <si>
    <t>US17</t>
  </si>
  <si>
    <t>Dividida em US17 + US59</t>
  </si>
  <si>
    <t>Desafio de economia e desafio de despesas essenciais possuem regras distintas.</t>
  </si>
  <si>
    <t>US14</t>
  </si>
  <si>
    <t>Dividida em US14 + US53</t>
  </si>
  <si>
    <t>Exportação de dados e relatório mensal PDF são fluxos diferentes.</t>
  </si>
  <si>
    <t>US16</t>
  </si>
  <si>
    <t>Dividida em US16 + US54</t>
  </si>
  <si>
    <t>Lembretes inteligentes e resumo semanal são notificações com objetivos distintos.</t>
  </si>
  <si>
    <t>US19</t>
  </si>
  <si>
    <t>Dividida em US19 + US55</t>
  </si>
  <si>
    <t>Anexo de recibo e OCR possuem complexidade/testes distintos.</t>
  </si>
  <si>
    <t>US23</t>
  </si>
  <si>
    <t>Dividida em US23 + US56</t>
  </si>
  <si>
    <t>Conteúdo educacional e feed por API externa são mecanismos distintos.</t>
  </si>
  <si>
    <t>US34</t>
  </si>
  <si>
    <t>Corrigida e movida para EP01</t>
  </si>
  <si>
    <t>RF41 exige painel e categorização por estabelecimento via GPS.</t>
  </si>
  <si>
    <t>US38</t>
  </si>
  <si>
    <t>Dividida em US38 + US57</t>
  </si>
  <si>
    <t>Diário livre e check-in com feedback personalizado são fluxos distintos.</t>
  </si>
  <si>
    <t>Épicos do produto</t>
  </si>
  <si>
    <t>Agrupamentos de valor usados para organizar as User Stories. Não alteram o escopo dos Requisitos Funcionais originais.</t>
  </si>
  <si>
    <t>Nome</t>
  </si>
  <si>
    <t>Objetivo</t>
  </si>
  <si>
    <t>User Stories</t>
  </si>
  <si>
    <t>EP01</t>
  </si>
  <si>
    <t>Registrar, organizar, consultar e manter a rastreabilidade das movimentações financeiras e seus dados associados.</t>
  </si>
  <si>
    <t>US01, US02, US03, US04, US05, US22, US33, US34, US44</t>
  </si>
  <si>
    <t>EP02</t>
  </si>
  <si>
    <t>Planejar limites de gastos em diferentes contextos e acompanhar o realizado contra o planejado.</t>
  </si>
  <si>
    <t>US06, US07, US09, US29, US40, US45, US52</t>
  </si>
  <si>
    <t>EP03</t>
  </si>
  <si>
    <t>Apoiar metas de economia, desafios e mecanismos de reflexão sobre hábitos e decisões de consumo.</t>
  </si>
  <si>
    <t>US10, US11, US12, US17, US38, US46, US47, US57, US59</t>
  </si>
  <si>
    <t>EP04</t>
  </si>
  <si>
    <t>Transformar dados financeiros em relatórios, previsões, indicadores e visões de acompanhamento.</t>
  </si>
  <si>
    <t>US13, US14, US15, US25, US32, US35, US39, US50, US53, US54, US58</t>
  </si>
  <si>
    <t>EP05</t>
  </si>
  <si>
    <t>Simular cenários e apoiar decisões futuras de compra, investimento e planejamento financeiro.</t>
  </si>
  <si>
    <t>US27, US28, US31, US51</t>
  </si>
  <si>
    <t>EP06</t>
  </si>
  <si>
    <t>Reduzir trabalho manual por meio de automações, recorrências, importação, notificações e captura assistida de dados.</t>
  </si>
  <si>
    <t>US16, US19, US20, US24, US42, US48, US55</t>
  </si>
  <si>
    <t>EP07</t>
  </si>
  <si>
    <t>Gerenciar contexto de perfil, proteção, sincronização e preferências de uso do aplicativo.</t>
  </si>
  <si>
    <t>US18, US21, US30, US36, US37, US41, US43</t>
  </si>
  <si>
    <t>EP08</t>
  </si>
  <si>
    <t>Oferecer conteúdo e experiências educativas para ampliar a compreensão financeira do usuário.</t>
  </si>
  <si>
    <t>US23, US49, US56</t>
  </si>
  <si>
    <t>Backlog revisado final de User Stories</t>
  </si>
  <si>
    <t>57 User Stories. Estrutura consolidada Épico → US → RF, com dependências e decisões pendentes explicitadas. Sem sprints, tasks ou critérios de aceitação detalhados.</t>
  </si>
  <si>
    <t>US</t>
  </si>
  <si>
    <t>Funcionalidade</t>
  </si>
  <si>
    <t>Prioridade</t>
  </si>
  <si>
    <t>Texto da User Story</t>
  </si>
  <si>
    <t>RFs vinculados</t>
  </si>
  <si>
    <t>Dependências (US)</t>
  </si>
  <si>
    <t>RN / decisões relacionadas</t>
  </si>
  <si>
    <t>Situação de decisão</t>
  </si>
  <si>
    <t>Pendências / ações RN</t>
  </si>
  <si>
    <t>Backlog revisado anterior relacionado</t>
  </si>
  <si>
    <t>US01</t>
  </si>
  <si>
    <t>Registro manual de transações</t>
  </si>
  <si>
    <t>Alta</t>
  </si>
  <si>
    <t>Como usuário, quero registrar manualmente receitas e despesas com valor, data, hora, descrição e categoria para manter meu histórico financeiro atualizado.</t>
  </si>
  <si>
    <t>RF01</t>
  </si>
  <si>
    <t>Nenhuma (fundação/independente)</t>
  </si>
  <si>
    <t>RN-TRANS-01, RN-TRANS-02</t>
  </si>
  <si>
    <t>RN a ajustar</t>
  </si>
  <si>
    <t>RN-TRANS-02: Confirmar se deseja realmente criar um campo novo obrigatório de título/nome ou se a própria descrição será usada para identificar a transação.</t>
  </si>
  <si>
    <t>US02</t>
  </si>
  <si>
    <t>Detalhamento de transações</t>
  </si>
  <si>
    <t>Media</t>
  </si>
  <si>
    <t>Como usuário, quero complementar minhas transações com tags, anotações, método de pagamento e classificações aplicáveis para organizá-las e analisá-las com mais contexto.</t>
  </si>
  <si>
    <t>RF21, RF36, RF58</t>
  </si>
  <si>
    <t>Nenhuma RN específica</t>
  </si>
  <si>
    <t>Sem pendência RN mapeada</t>
  </si>
  <si>
    <t>Nenhuma ação pendente identificada na revisão de RN</t>
  </si>
  <si>
    <t>US03</t>
  </si>
  <si>
    <t>Consulta, busca e filtros de transações</t>
  </si>
  <si>
    <t>Como usuário, quero buscar e filtrar transações por data, categoria, descrição, valor e método de pagamento para localizar registros específicos com rapidez.</t>
  </si>
  <si>
    <t>RF13, RF58</t>
  </si>
  <si>
    <t>US01, US02</t>
  </si>
  <si>
    <t>US04</t>
  </si>
  <si>
    <t>Auditoria de transações</t>
  </si>
  <si>
    <t>Baixa</t>
  </si>
  <si>
    <t>Como usuário, quero consultar o histórico de alterações e exclusões de uma transação para compreender o que foi modificado ao longo do tempo.</t>
  </si>
  <si>
    <t>RF23</t>
  </si>
  <si>
    <t>RN-TRANS-03, RN-AUD-01</t>
  </si>
  <si>
    <t>RN-AUD-01: Definir o conjunto mínimo de campos guardados no snapshot de auditoria.</t>
  </si>
  <si>
    <t>US05</t>
  </si>
  <si>
    <t>Categorias e subcategorias</t>
  </si>
  <si>
    <t>Como usuário, quero criar subcategorias personalizadas dentro das categorias principais para organizar meus gastos com mais precisão.</t>
  </si>
  <si>
    <t>RF02</t>
  </si>
  <si>
    <t>RN-CAT-01</t>
  </si>
  <si>
    <t>US06</t>
  </si>
  <si>
    <t>Orçamento mensal por categoria</t>
  </si>
  <si>
    <t>Como usuário, quero definir limites mensais por categoria, inclusive para gastos com serviços digitais, e visualizar alertas ao me aproximar ou exceder esses limites para controlar meu orçamento.</t>
  </si>
  <si>
    <t>RF03, RF24</t>
  </si>
  <si>
    <t>US01, US05</t>
  </si>
  <si>
    <t>RN-ORC-01, RN-ORC-02</t>
  </si>
  <si>
    <t>US06, US08</t>
  </si>
  <si>
    <t>US07</t>
  </si>
  <si>
    <t>Orçamentos flexíveis, temporários e por evento</t>
  </si>
  <si>
    <t>Como usuário, quero criar orçamentos com períodos flexíveis e temporários, inclusive vinculados a eventos, para planejar gastos fora do ciclo mensal padrão.</t>
  </si>
  <si>
    <t>RF34, RF42, RF63</t>
  </si>
  <si>
    <t>RN-ORC-02, RN-ORC-03</t>
  </si>
  <si>
    <t>US07, US08</t>
  </si>
  <si>
    <t>US09</t>
  </si>
  <si>
    <t>Orçamento zero-based</t>
  </si>
  <si>
    <t>Como usuário, quero distribuir a renda do período entre categorias em um orçamento zero para dar destino a todo o valor planejado.</t>
  </si>
  <si>
    <t>RF46</t>
  </si>
  <si>
    <t>RN-ORC-04</t>
  </si>
  <si>
    <t>RN-ORC-04: Confirmar o período padrão do orçamento zero (por exemplo, mensal) e se diferença impede finalizar o planejamento ou apenas gera alerta.</t>
  </si>
  <si>
    <t>Metas de economia</t>
  </si>
  <si>
    <t>Como usuário, quero criar e acompanhar metas de economia com valor-alvo, data-limite e sugestão de economia diária ou semanal para planejar meus objetivos financeiros.</t>
  </si>
  <si>
    <t>RF04</t>
  </si>
  <si>
    <t>RN-META-01, RN-META-02</t>
  </si>
  <si>
    <t>RN-META-02: Decidir o comportamento de uma meta vencida que não foi concluída.</t>
  </si>
  <si>
    <t>US11</t>
  </si>
  <si>
    <t>Compartilhamento de metas</t>
  </si>
  <si>
    <t>Como usuário, quero compartilhar o progresso das minhas metas com contatos selecionados para obter apoio e motivação.</t>
  </si>
  <si>
    <t>RF30</t>
  </si>
  <si>
    <t>US12</t>
  </si>
  <si>
    <t>Reflexão antes da compra</t>
  </si>
  <si>
    <t>Como usuário, quero usar mecanismos de reflexão antes de comprar, incluindo período de espera e pergunta ao registrar uma compra não essencial, para reduzir decisões impulsivas.</t>
  </si>
  <si>
    <t>RF05, RF70</t>
  </si>
  <si>
    <t>RN-CAT-02, RN-REF-01, RN-REF-03</t>
  </si>
  <si>
    <t>RN-REF-01: Escolher duração padrão e se o usuário poderá alterá-la.</t>
  </si>
  <si>
    <t>US13</t>
  </si>
  <si>
    <t>Relatórios gráficos de gastos</t>
  </si>
  <si>
    <t>Como usuário, quero visualizar gráficos de gastos por categoria e período para compreender a distribuição das minhas despesas.</t>
  </si>
  <si>
    <t>RF06</t>
  </si>
  <si>
    <t>Exportação de dados financeiros</t>
  </si>
  <si>
    <t>Como usuário, quero exportar meus dados financeiros em CSV e em formato compatível com Excel para analisá-los externamente ou manter uma cópia das informações.</t>
  </si>
  <si>
    <t>RF07, RF28</t>
  </si>
  <si>
    <t>US15</t>
  </si>
  <si>
    <t>Dashboard financeiro</t>
  </si>
  <si>
    <t>Como usuário, quero visualizar saldo, gastos do mês, progresso das metas e comparação com o mês anterior em um painel para entender rapidamente minha situação financeira.</t>
  </si>
  <si>
    <t>RF08</t>
  </si>
  <si>
    <t>US01, US10</t>
  </si>
  <si>
    <t>RN-TRANS-01, RN-META-01</t>
  </si>
  <si>
    <t>Lembretes inteligentes de transações</t>
  </si>
  <si>
    <t>Como usuário, quero receber lembretes push para registrar transações possivelmente esquecidas, com base no meu histórico de gastos ou em horários predefinidos, para reduzir omissões no controle financeiro.</t>
  </si>
  <si>
    <t>RF09</t>
  </si>
  <si>
    <t>RN-NOT-01</t>
  </si>
  <si>
    <t>Nenhuma decisão estrutural pendente; a configuração de notificações pode ser detalhada posteriormente.</t>
  </si>
  <si>
    <t>Desafio de economia</t>
  </si>
  <si>
    <t>Como usuário, quero participar de um desafio de economia com período e valor-alvo definidos, acompanhando meu progresso e recebendo mensagens de incentivo para desenvolver o hábito de economizar.</t>
  </si>
  <si>
    <t>RF10</t>
  </si>
  <si>
    <t>Nenhuma dependência funcional definida</t>
  </si>
  <si>
    <t>DP-DES-01</t>
  </si>
  <si>
    <t>Decisão Pendente</t>
  </si>
  <si>
    <t>DP-DES-01: Definir como o progresso do desafio de economia será atualizado, sem assumir vínculo com metas ou transações antes de decisão formal.</t>
  </si>
  <si>
    <t>US18</t>
  </si>
  <si>
    <t>Perfis financeiros múltiplos</t>
  </si>
  <si>
    <t>Como usuário, quero manter e alternar entre perfis financeiros separados para administrar diferentes contextos de finanças.</t>
  </si>
  <si>
    <t>RF11</t>
  </si>
  <si>
    <t>RN-PERFIL-01, RN-PERFIL-02, RN-ID-01</t>
  </si>
  <si>
    <t>RN Pendente/Rever</t>
  </si>
  <si>
    <t>RN-PERFIL-02: Registrar uma decisão de identidade/autenticação para suportar conta, login e sincronização. | RN-ID-01: Definir estratégia de autenticação/cadastro de conta e registrar como decisão arquitetural ou novo requisito aprovado.</t>
  </si>
  <si>
    <t>Anexo de recibo à despesa</t>
  </si>
  <si>
    <t>Como usuário, quero anexar uma foto do recibo ao registrar uma despesa usando a câmera do dispositivo para manter um comprovante associado à transação.</t>
  </si>
  <si>
    <t>RF12</t>
  </si>
  <si>
    <t>US20</t>
  </si>
  <si>
    <t>Regras de automação de classificação</t>
  </si>
  <si>
    <t>Como usuário, quero criar regras explícitas de automação para classificar atributos das transações e reduzir tarefas repetitivas.</t>
  </si>
  <si>
    <t>RF15</t>
  </si>
  <si>
    <t>RN-CAT-02, RN-CAT-03</t>
  </si>
  <si>
    <t>RN-CAT-03: Confirmar se aceita a restrição por 'atributo-alvo' em vez de apenas uma automação total por categoria.</t>
  </si>
  <si>
    <t>US21</t>
  </si>
  <si>
    <t>Sincronização entre dispositivos</t>
  </si>
  <si>
    <t>Como usuário, quero sincronizar meus dados financeiros entre dispositivos para acessar informações consistentes em diferentes aparelhos.</t>
  </si>
  <si>
    <t>RF16</t>
  </si>
  <si>
    <t>US01, US18</t>
  </si>
  <si>
    <t>RN-SYNC-01, RN-ID-01</t>
  </si>
  <si>
    <t>RN-SYNC-01: Escolher estratégia de conflito; para o projeto acadêmico, 'última atualização vence' é a opção mais simples. | RN-ID-01: Definir estratégia de autenticação/cadastro de conta e registrar como decisão arquitetural ou novo requisito aprovado.</t>
  </si>
  <si>
    <t>US22</t>
  </si>
  <si>
    <t>Conversão de moedas</t>
  </si>
  <si>
    <t>Como usuário, quero registrar gastos em moedas diferentes e convertê-los para a moeda-base do perfil para manter meus valores comparáveis.</t>
  </si>
  <si>
    <t>RF17</t>
  </si>
  <si>
    <t>RN-PERFIL-01, RN-MOEDA-01</t>
  </si>
  <si>
    <t>RN-MOEDA-01: Confirmar se a cotação é fixada no momento do cadastro ou se haverá reprocessamento manual.</t>
  </si>
  <si>
    <t>Conteúdo de educação financeira</t>
  </si>
  <si>
    <t>Como usuário, quero acessar pequenos artigos e dicas diárias sobre economia, investimentos e controle de gastos e marcar o que já li para acompanhar meu aprendizado financeiro.</t>
  </si>
  <si>
    <t>RF19</t>
  </si>
  <si>
    <t>US24</t>
  </si>
  <si>
    <t>Recorrências e lembretes de vencimento</t>
  </si>
  <si>
    <t>Como usuário, quero configurar receitas e despesas recorrentes e lembretes de vencimento associados a transações futuras para automatizar lançamentos e evitar atrasos.</t>
  </si>
  <si>
    <t>RF20, RF64</t>
  </si>
  <si>
    <t>RN-TRANS-04, RN-NOT-01, RN-REC-01</t>
  </si>
  <si>
    <t>RN-REC-01: Confirmar se editar/cancelar uma recorrência altera somente ocorrências futuras.</t>
  </si>
  <si>
    <t>US25</t>
  </si>
  <si>
    <t>Métricas financeiras</t>
  </si>
  <si>
    <t>Como usuário, quero visualizar taxa de poupança e saldo médio diário para acompanhar meu desempenho financeiro.</t>
  </si>
  <si>
    <t>RF22</t>
  </si>
  <si>
    <t>RN-MET-01, RN-MET-02</t>
  </si>
  <si>
    <t>RN-MET-01: Confirmar a fórmula calculada da taxa de poupança. Se quiser uma meta percentual escolhida pelo usuário, registre isso separadamente como funcionalidade adicional. | RN-MET-02: Definir período padrão/selecionável da métrica.</t>
  </si>
  <si>
    <t>US27</t>
  </si>
  <si>
    <t>Simulação de impacto de compras</t>
  </si>
  <si>
    <t>Como usuário, quero simular o impacto de uma compra, inclusive parcelada, no orçamento atual e futuro para avaliar seu comprometimento antes de decidir.</t>
  </si>
  <si>
    <t>RF25, RF60</t>
  </si>
  <si>
    <t>RN-TRANS-05</t>
  </si>
  <si>
    <t>RN-TRANS-05: Decidir se a simulação de parcelamento será apenas projeção ou se, após confirmação do usuário, poderá gerar transações futuras reais.</t>
  </si>
  <si>
    <t>US27, US28</t>
  </si>
  <si>
    <t>US28</t>
  </si>
  <si>
    <t>Comparação de preço histórico</t>
  </si>
  <si>
    <t>Como usuário, quero comparar o preço atual de um produto desejado com sua média histórica para avaliar se o momento de compra é favorável.</t>
  </si>
  <si>
    <t>RF66</t>
  </si>
  <si>
    <t>RN-PRECO-01</t>
  </si>
  <si>
    <t>RN-PRECO-01: Decidir: histórico de preços do próprio usuário ou preço de mercado via fonte/API externa; depois definir identificação do produto.</t>
  </si>
  <si>
    <t>US29</t>
  </si>
  <si>
    <t>Limites de gastos e alertas</t>
  </si>
  <si>
    <t>Como usuário, quero definir limite diário e limites por categoria, escolhendo os canais de alerta aplicáveis, para ser avisado quando meus gastos atingirem os valores definidos.</t>
  </si>
  <si>
    <t>RF27, RF54</t>
  </si>
  <si>
    <t>RN-NOT-01, RN-NOT-02, RN-LIM-01</t>
  </si>
  <si>
    <t>RN-LIM-01: Definir o período padrão do RF54 e confirmar que RF71 usa renda mensal efetivada ou planejada.</t>
  </si>
  <si>
    <t>US30</t>
  </si>
  <si>
    <t>Personalização visual</t>
  </si>
  <si>
    <t>Como usuário, quero usar modo escuro e personalizar cores do tema e dos gráficos para adaptar a interface às minhas preferências.</t>
  </si>
  <si>
    <t>RF31, RF50</t>
  </si>
  <si>
    <t>US31</t>
  </si>
  <si>
    <t>Juros compostos e custo de oportunidade</t>
  </si>
  <si>
    <t>Como usuário, quero calcular juros compostos e o valor futuro hipotético de um gasto não realizado para comparar cenários de investimento e consumo.</t>
  </si>
  <si>
    <t>RF32, RF51</t>
  </si>
  <si>
    <t>RN-CO-01</t>
  </si>
  <si>
    <t>US31, US27</t>
  </si>
  <si>
    <t>US32</t>
  </si>
  <si>
    <t>Previsão de saldo e fluxo de caixa</t>
  </si>
  <si>
    <t>Como usuário, quero visualizar a projeção de entradas, saídas e saldo futuro para antecipar meu fluxo de caixa de curto prazo.</t>
  </si>
  <si>
    <t>RF14, RF38</t>
  </si>
  <si>
    <t>US01, US24</t>
  </si>
  <si>
    <t>RN-TRANS-04</t>
  </si>
  <si>
    <t>US32, US26</t>
  </si>
  <si>
    <t>US33</t>
  </si>
  <si>
    <t>Finanças compartilhadas</t>
  </si>
  <si>
    <t>Como usuário, quero marcar uma transação como compartilhada e distribuir seu valor entre os envolvidos para saber a responsabilidade de cada pessoa.</t>
  </si>
  <si>
    <t>RF39</t>
  </si>
  <si>
    <t>RN-COMP-01</t>
  </si>
  <si>
    <t>Gastos por localização e categorização pelo estabelecimento</t>
  </si>
  <si>
    <t>Como usuário, quero visualizar um painel de gastos por localização e que o aplicativo utilize o GPS do telefone para categorizar gastos com base no estabelecimento da compra, para organizar e compreender melhor onde meu dinheiro é gasto.</t>
  </si>
  <si>
    <t>RF41</t>
  </si>
  <si>
    <t>US35</t>
  </si>
  <si>
    <t>Tendências de gastos</t>
  </si>
  <si>
    <t>Como usuário, quero visualizar se meus gastos por categoria estão aumentando, diminuindo ou permanecendo estáveis ao longo do tempo para identificar mudanças de comportamento.</t>
  </si>
  <si>
    <t>RF44</t>
  </si>
  <si>
    <t>RN-MET-04</t>
  </si>
  <si>
    <t>RN-MET-04: Definir quantos meses comparar e qual variação percentual ainda é considerada estável.</t>
  </si>
  <si>
    <t>US36</t>
  </si>
  <si>
    <t>Atalho de acesso rápido</t>
  </si>
  <si>
    <t>Como usuário, quero abrir diretamente a tela de nova transação por um atalho na tela inicial do Android para registrar gastos com menos passos.</t>
  </si>
  <si>
    <t>RF45</t>
  </si>
  <si>
    <t>US37</t>
  </si>
  <si>
    <t>Bloqueio de acesso</t>
  </si>
  <si>
    <t>Como usuário, quero proteger o acesso local ao aplicativo por biometria ou PIN para manter meus dados financeiros seguros.</t>
  </si>
  <si>
    <t>RF48</t>
  </si>
  <si>
    <t>Diário de consumo</t>
  </si>
  <si>
    <t>Como usuário, quero registrar livremente minhas motivações para comprar algo em um diário de consumo para refletir sobre meus hábitos e decisões de compra.</t>
  </si>
  <si>
    <t>RF59</t>
  </si>
  <si>
    <t>US39</t>
  </si>
  <si>
    <t>Pegada de carbono do consumo</t>
  </si>
  <si>
    <t>Como usuário, quero visualizar uma estimativa da pegada de carbono associada aos meus padrões de consumo para compreender seu impacto ambiental.</t>
  </si>
  <si>
    <t>RF53</t>
  </si>
  <si>
    <t>RN-CARB-01</t>
  </si>
  <si>
    <t>RN-CARB-01: Escolher fonte dos fatores e metodologia de cálculo.</t>
  </si>
  <si>
    <t>US40</t>
  </si>
  <si>
    <t>Comparação orçado x realizado</t>
  </si>
  <si>
    <t>Como usuário, quero comparar o orçamento planejado com os gastos realizados para identificar desvios e as categorias que mais contribuíram para eles.</t>
  </si>
  <si>
    <t>RF55</t>
  </si>
  <si>
    <t>US01, US06</t>
  </si>
  <si>
    <t>US41</t>
  </si>
  <si>
    <t>Modo pausa financeira</t>
  </si>
  <si>
    <t>Como usuário, quero ativar um modo que permita somente visualização por um período planejado para evitar alterações ou novos registros durante a pausa.</t>
  </si>
  <si>
    <t>RF56</t>
  </si>
  <si>
    <t>US42</t>
  </si>
  <si>
    <t>Importação de dados financeiros</t>
  </si>
  <si>
    <t>Como usuário, quero importar transações de CSV ou extrato em formato predefinido para evitar o registro manual de informações já existentes.</t>
  </si>
  <si>
    <t>RF61</t>
  </si>
  <si>
    <t>RN-IMP-01, RN-IMP-02</t>
  </si>
  <si>
    <t>RN-IMP-01: Definir o layout oficial do arquivo de importação.</t>
  </si>
  <si>
    <t>US43</t>
  </si>
  <si>
    <t>Modo de apresentação e privacidade</t>
  </si>
  <si>
    <t>Como usuário, quero ocultar valores monetários e exibir apenas progresso percentual para apresentar informações financeiras sem expor valores sensíveis.</t>
  </si>
  <si>
    <t>RF67</t>
  </si>
  <si>
    <t>US44</t>
  </si>
  <si>
    <t>Reversão de transação</t>
  </si>
  <si>
    <t>Como usuário, quero reverter uma transação registrada por engano sem manter seu efeito nos cálculos, preservando a rastreabilidade da exclusão para corrigir meu histórico com segurança.</t>
  </si>
  <si>
    <t>RF40</t>
  </si>
  <si>
    <t>US01, US04</t>
  </si>
  <si>
    <t>US45</t>
  </si>
  <si>
    <t>Cota de gastos livres</t>
  </si>
  <si>
    <t>Como usuário, quero definir uma cota mensal de gastos livres sem categorização para manter flexibilidade dentro do meu planejamento.</t>
  </si>
  <si>
    <t>RF57</t>
  </si>
  <si>
    <t>RN-ORC-02, RN-ORC-05</t>
  </si>
  <si>
    <t>US46</t>
  </si>
  <si>
    <t>Aplicativos gatilho e reflexão</t>
  </si>
  <si>
    <t>Como usuário, quero configurar aplicativos gatilho para receber uma pergunta reflexiva quando eu os abrir e reduzir compras por impulso.</t>
  </si>
  <si>
    <t>RF18</t>
  </si>
  <si>
    <t>RN-REF-02, RN-NOT-01</t>
  </si>
  <si>
    <t>US47</t>
  </si>
  <si>
    <t>Conquistas e certificado de desafios</t>
  </si>
  <si>
    <t>Como usuário, quero receber distintivos e um certificado quando eu alcançar conquistas ou concluir desafios para registrar e compartilhar meu progresso.</t>
  </si>
  <si>
    <t>RF47, RF69</t>
  </si>
  <si>
    <t>US17, US59</t>
  </si>
  <si>
    <t>US48</t>
  </si>
  <si>
    <t>Sugestão inteligente de categoria</t>
  </si>
  <si>
    <t>Como usuário, quero receber sugestões de categoria com base no meu histórico de descrições semelhantes para categorizar novas despesas com menos esforço.</t>
  </si>
  <si>
    <t>RF33</t>
  </si>
  <si>
    <t>RN-CAT-04</t>
  </si>
  <si>
    <t>RN-CAT-04: Decidir se a categoria será apenas sugerida para confirmação ou preenchida automaticamente com opção de correção.</t>
  </si>
  <si>
    <t>US49</t>
  </si>
  <si>
    <t>Jogo de simulação financeira</t>
  </si>
  <si>
    <t>Como usuário, quero tomar decisões em cenários financeiros simulados e observar suas consequências para aprender sobre escolhas de consumo.</t>
  </si>
  <si>
    <t>RF43</t>
  </si>
  <si>
    <t>US50</t>
  </si>
  <si>
    <t>Indicador de saúde financeira</t>
  </si>
  <si>
    <t>Como usuário, quero visualizar uma pontuação de saúde financeira baseada nas métricas definidas pelo produto para entender minha situação geral.</t>
  </si>
  <si>
    <t>RF62</t>
  </si>
  <si>
    <t>RN-MET-03, RN-SAUDE-01</t>
  </si>
  <si>
    <t>RN-MET-03: Definir fórmula, pesos, escala e principalmente de onde virão os dados de dívidas. | RN-SAUDE-01: Decidir se haverá cadastro específico de dívidas ou se a métrica será adaptada formalmente para usar apenas dados que o aplicativo possui.</t>
  </si>
  <si>
    <t>US51</t>
  </si>
  <si>
    <t>Planejador de grandes compras</t>
  </si>
  <si>
    <t>Como usuário, quero criar um plano de economia para uma compra de alto valor com parcelas mensais compatíveis com meu orçamento para saber como alcançar esse objetivo.</t>
  </si>
  <si>
    <t>RF37</t>
  </si>
  <si>
    <t>US52</t>
  </si>
  <si>
    <t>Regras de gastos</t>
  </si>
  <si>
    <t>Como usuário, quero criar regras de gastos baseadas em limites proporcionais e ser alertado quando elas forem violadas para controlar meu comportamento financeiro.</t>
  </si>
  <si>
    <t>RF71</t>
  </si>
  <si>
    <t>RN-NOT-01, RN-LIM-01</t>
  </si>
  <si>
    <t>US53</t>
  </si>
  <si>
    <t>Resumo financeiro mensal em PDF</t>
  </si>
  <si>
    <t>Como usuário, quero configurar e obter um resumo financeiro mensal em formato PDF, com opção de salvar ou compartilhar, para consultar minhas informações financeiras fora do aplicativo.</t>
  </si>
  <si>
    <t>RF68</t>
  </si>
  <si>
    <t>RN-PDF-01</t>
  </si>
  <si>
    <t>RN-PDF-01: Consolidar a forma de geração do relatório e definir quais seções compõem o PDF.</t>
  </si>
  <si>
    <t>US54</t>
  </si>
  <si>
    <t>Resumo semanal por notificação</t>
  </si>
  <si>
    <t>Como usuário, quero receber por notificação push um resumo semanal que destaque meus maiores gastos e o progresso em relação ao orçamento para acompanhar minha situação financeira regularmente.</t>
  </si>
  <si>
    <t>RF26</t>
  </si>
  <si>
    <t>Nenhuma decisão estrutural pendente identificada para a separação desta funcionalidade.</t>
  </si>
  <si>
    <t>US55</t>
  </si>
  <si>
    <t>Digitalização de recibos por OCR</t>
  </si>
  <si>
    <t>Como usuário, quero digitalizar um recibo com a câmera e utilizar OCR para extrair automaticamente dados como valor, data e estabelecimento, reduzindo o preenchimento manual da despesa.</t>
  </si>
  <si>
    <t>RF29</t>
  </si>
  <si>
    <t>A escolha da biblioteca OCR é decisão técnica posterior, não uma regra de negócio.</t>
  </si>
  <si>
    <t>US56</t>
  </si>
  <si>
    <t>Feed de notícias financeiras</t>
  </si>
  <si>
    <t>Como usuário, quero acessar um feed de artigos relevantes sobre economia e mercado obtidos por uma API de notícias financeiras para acompanhar informações do cenário financeiro.</t>
  </si>
  <si>
    <t>RF49</t>
  </si>
  <si>
    <t>A escolha da API provedora é decisão técnica posterior.</t>
  </si>
  <si>
    <t>US57</t>
  </si>
  <si>
    <t>Check-in financeiro e feedback</t>
  </si>
  <si>
    <t>Como usuário, quero responder a perguntas sobre meu estado emocional e hábitos de consumo em um check-in financeiro e receber feedback personalizado para refletir sobre meu comportamento.</t>
  </si>
  <si>
    <t>RF52</t>
  </si>
  <si>
    <t>DP-CHK-01</t>
  </si>
  <si>
    <t>DP-CHK-01: Definir as regras ou fonte usadas para produzir o feedback personalizado, sem inventar lógica não especificada no RF52.</t>
  </si>
  <si>
    <t>US58</t>
  </si>
  <si>
    <t>Taxa de realização de metas</t>
  </si>
  <si>
    <t>Como usuário, quero visualizar a porcentagem de metas de economia cumpridas em um período histórico definido para avaliar minha consistência no alcance de objetivos.</t>
  </si>
  <si>
    <t>RF35</t>
  </si>
  <si>
    <t>RN-META-03</t>
  </si>
  <si>
    <t>RN-META-03: Definir de forma inequívoca a janela histórica usada no cálculo da taxa de realização.</t>
  </si>
  <si>
    <t>US59</t>
  </si>
  <si>
    <t>Desafio de despesas essenciais</t>
  </si>
  <si>
    <t>Como usuário, quero participar de um desafio para reduzir gastos em uma categoria específica de despesas essenciais e receber sugestões de alternativas mais econômicas para melhorar meus hábitos de consumo.</t>
  </si>
  <si>
    <t>RF65</t>
  </si>
  <si>
    <t>US02, US05</t>
  </si>
  <si>
    <t>RN-CAT-02, DP-DES-02</t>
  </si>
  <si>
    <t>DP-DES-02: Definir a origem das alternativas mais econômicas sugeridas e a regra de avaliação do desafio sem assumir mecanismo não documentado.</t>
  </si>
  <si>
    <t>Mapeamento User Story → Requisito Funcional</t>
  </si>
  <si>
    <t>Uma linha por vínculo US–RF. RF58 aparece duas vezes intencionalmente: cadastro do método de pagamento em US02 e filtro por método em US03.</t>
  </si>
  <si>
    <t>RF</t>
  </si>
  <si>
    <t>Tipo de cobertura</t>
  </si>
  <si>
    <t>Requisito funcional original</t>
  </si>
  <si>
    <t>Observação</t>
  </si>
  <si>
    <t>Principal</t>
  </si>
  <si>
    <t>O aplicativo deve permitir que o usuário registre manualmente cada transação financeira, categorizando-a entre receitas e despesas, com campos para valor, data, hora e uma descrição detalhada.</t>
  </si>
  <si>
    <t>RF21</t>
  </si>
  <si>
    <t>Um sistema de tags deve ser implementado, permitindo ao usuário marcar transações com palavras-chave (ex: #viagem, #urgente) para uma categorização e busca ainda mais flexíveis.</t>
  </si>
  <si>
    <t>RF36</t>
  </si>
  <si>
    <t>O aplicativo deve permitir a inclusão de anotações em cada transação, proporcionando um contexto adicional que pode ser útil para revisões futuras.</t>
  </si>
  <si>
    <t>RF58</t>
  </si>
  <si>
    <t>Para um controle mais preciso, o Orca Finance deve suportar o registro de despesas com métodos de pagamento específicos (dinheiro, cartão de crédito, débito, etc.), permitindo filtrar por eles.</t>
  </si>
  <si>
    <t>RF13</t>
  </si>
  <si>
    <t>O aplicativo deve permitir a busca e filtragem de transações por data, categoria, descrição ou valor, facilitando a localização de registros específicos.</t>
  </si>
  <si>
    <t>Complementar</t>
  </si>
  <si>
    <t>Filtro por método de pagamento complementa o cadastro do atributo em US02.</t>
  </si>
  <si>
    <t>Para promover a transparência, o histórico completo de todas as alterações feitas em uma transação (edição, exclusão) deve ser registrado e acessível ao usuário.</t>
  </si>
  <si>
    <t>Para um controle mais granular, o sistema deve possibilitar a criação de subcategorias personalizadas dentro das categorias principais, como "Alimentação" com subcategorias "Restaurante", "Supermercado" e "Lanches".</t>
  </si>
  <si>
    <t>RF03</t>
  </si>
  <si>
    <t>Uma funcionalidade essencial é a capacidade de definir um orçamento mensal para cada categoria de gasto, com o aplicativo fornecendo alertas visuais quando o usuário se aproximar ou exceder o limite estabelecido.</t>
  </si>
  <si>
    <t>RF24</t>
  </si>
  <si>
    <t>O aplicativo deve permitir a criação de um orçamento de "inclusão digital", onde o usuário pode definir limites para gastos com assinaturas de streaming, aplicativos e serviços online.</t>
  </si>
  <si>
    <t>RF34</t>
  </si>
  <si>
    <t>O usuário deve poder definir um orçamento para um período específico que não seja mensal, como semanal ou anual, para atender a necessidades de planejamento diferenciadas.</t>
  </si>
  <si>
    <t>RF42</t>
  </si>
  <si>
    <t>O sistema deve permitir a criação de múltiplos orçamentos temporários, como um orçamento específico para uma viagem ou para um projeto pessoal.</t>
  </si>
  <si>
    <t>RF63</t>
  </si>
  <si>
    <t>O sistema deve permitir a criação de um "orçamento por evento", como um casamento ou uma festa de aniversário, onde todos os gastos relacionados são agrupados e acompanhados.</t>
  </si>
  <si>
    <t>O sistema deve permitir que o usuário estabeleça um "orçamento zero" (zero-based budget), onde cada real da renda é destinado a uma categoria específica, promovendo um planejamento mais rigoroso.</t>
  </si>
  <si>
    <t>O Orca Finance deve implementar um sistema de "metas de economia", onde o usuário pode definir um objetivo financeiro com um valor alvo e uma data limite, e o aplicativo calcula e sugere um valor de economia diário ou semanal.</t>
  </si>
  <si>
    <t>O sistema deve permitir que o usuário compartilhe o progresso de suas metas de economia com contatos selecionados, como um parceiro ou um amigo para fins de motivação.</t>
  </si>
  <si>
    <t>RF05</t>
  </si>
  <si>
    <t>Para desencorajar compras por impulso, o aplicativo deve incluir um recurso de "período de reflexão", onde o usuário pode adicionar um item desejado a uma lista de espera, e o sistema só libera a opção de compra após um intervalo de tempo pré-definido, como 24 horas.</t>
  </si>
  <si>
    <t>RF70</t>
  </si>
  <si>
    <t>Para promover hábitos conscientes, o aplicativo deve exibir uma frase ou pergunta reflexiva toda vez que o usuário estiver prestes a finalizar o registro de uma compra não essencial.</t>
  </si>
  <si>
    <t>O sistema deve gerar relatórios detalhados de gastos em formato gráfico, como gráficos de pizza e de barras, que demonstram a distribuição dos gastos por categoria ao longo de um período selecionado.</t>
  </si>
  <si>
    <t>RF07</t>
  </si>
  <si>
    <t>O usuário deve poder exportar seus dados financeiros para um arquivo CSV, permitindo uma análise externa ou o backup das informações.</t>
  </si>
  <si>
    <t>RF28</t>
  </si>
  <si>
    <t>Para uma análise mais profunda, o usuário pode exportar seus dados financeiros para um formato compatível com ferramentas de planilha, como o Excel.</t>
  </si>
  <si>
    <t>Para uma visão holística, o aplicativo deve exibir um painel de controle principal que resume o saldo atual, os gastos do mês, o progresso das metas de economia e um comparativo com o mês anterior.</t>
  </si>
  <si>
    <t>O sistema de notificações push deve ser inteligente, enviando lembretes para registrar transações que podem ter sido esquecidas, baseando-se no histórico de gastos do usuário ou em horários pré-definidos.</t>
  </si>
  <si>
    <t>Uma funcionalidade de "desafio de economia" deve propor ao usuário um período (ex: 30 dias) para economizar uma quantia específica, com atualizações de progresso e mensagens de incentivo.</t>
  </si>
  <si>
    <t>O aplicativo deve suportar múltiplos perfis financeiros, permitindo que o usuário gerencie, por exemplo, uma conta pessoal e uma conta conjunta separadamente.</t>
  </si>
  <si>
    <t>Para melhorar a precisão dos dados, o usuário pode anexar uma foto do recibo da compra ao registrar uma despesa, utilizando a câmera do dispositivo.</t>
  </si>
  <si>
    <t>O sistema deve suportar a criação de regras de automação, como "sempre que eu registrar um gasto em 'Transporte', classificar como 'Essencial'".</t>
  </si>
  <si>
    <t>A sincronização dos dados entre diferentes dispositivos deve ser implementada, garantindo que o usuário tenha acesso às suas informações financeiras em qualquer lugar.</t>
  </si>
  <si>
    <t>O aplicativo deve integrar uma API de conversão de moedas para permitir que o usuário registre gastos em diferentes moedas, que serão automaticamente convertidas para a moeda base do perfil.</t>
  </si>
  <si>
    <t>O módulo de "educação financeira" deve exibir pequenos artigos ou dicas diárias sobre economia, investimentos e controle de gastos, com a possibilidade de o usuário marcar os que já leu.</t>
  </si>
  <si>
    <t>RF20</t>
  </si>
  <si>
    <t>O usuário deve poder registrar receitas recorrentes, como salário, e despesas fixas, como aluguel, configurando-as para serem adicionadas automaticamente ao extrato em datas específicas.</t>
  </si>
  <si>
    <t>RF64</t>
  </si>
  <si>
    <t>O Orca Finance deve possibilitar que o usuário defina lembretes para datas de vencimento de contas, associando a conta a uma transação futura programada.</t>
  </si>
  <si>
    <t>O aplicativo deve calcular e exibir métricas financeiras importantes, como a taxa de poupança (percentual da renda que é economizado) e o saldo médio diário.</t>
  </si>
  <si>
    <t>RF25</t>
  </si>
  <si>
    <t>Um recurso de "simulador de compras" deve permitir que o usuário insira o valor de um bem desejado para visualizar o impacto dessa compra em seu orçamento mensal ao longo do tempo.</t>
  </si>
  <si>
    <t>RF60</t>
  </si>
  <si>
    <t>O sistema deve fornecer uma previsão do impacto de uma compra parcelada no orçamento dos próximos meses, mostrando o comprometimento da renda futura.</t>
  </si>
  <si>
    <t>Para auxiliar na decisão de compra, o aplicativo deve permitir que o usuário compare o preço de um produto desejado com a sua média de preços dos últimos meses.</t>
  </si>
  <si>
    <t>RF27</t>
  </si>
  <si>
    <t>O Orca Finance deve possibilitar que o usuário defina um limite máximo de gastos diário, com um alerta sendo disparado sempre que esse limite for atingido.</t>
  </si>
  <si>
    <t>RF54</t>
  </si>
  <si>
    <t>O sistema deve permitir que o usuário configure alertas para quando uma categoria de gasto específica ultrapassar um limite definido, com a opção de receber a notificação por e-mail ou push.</t>
  </si>
  <si>
    <t>RF31</t>
  </si>
  <si>
    <t>Um "modo escuro" deve ser implementado para melhorar a usabilidade do aplicativo em ambientes com pouca luz, respeitando as configurações de tema do sistema Android.</t>
  </si>
  <si>
    <t>RF50</t>
  </si>
  <si>
    <t>O Orca Finance deve permitir que o usuário personalize as cores dos gráficos e do tema do aplicativo, adaptando a interface ao seu gosto pessoal.</t>
  </si>
  <si>
    <t>RF32</t>
  </si>
  <si>
    <t>O aplicativo deve oferecer uma ferramenta para calcular o valor de juros compostos, ajudando o usuário a visualizar o potencial de crescimento de seus investimentos a longo prazo.</t>
  </si>
  <si>
    <t>RF51</t>
  </si>
  <si>
    <t>Um recurso de "análise de custo de oportunidade" deve ser implementado, mostrando ao usuário o quanto um gasto presente poderia se tornar no futuro se fosse investido.</t>
  </si>
  <si>
    <t>RF14</t>
  </si>
  <si>
    <t>O Orca Finance deve oferecer uma visão preditiva, analisando os padrões de gastos para estimar o saldo no final do mês, com base nas despesas e receitas programadas.</t>
  </si>
  <si>
    <t>RF38</t>
  </si>
  <si>
    <t>O sistema deve fornecer uma visão clara do fluxo de caixa, apresentando uma projeção de entradas e saídas de dinheiro para os próximos 30 dias, com base em dados recorrentes e agendados.</t>
  </si>
  <si>
    <t>Para lidar com finanças compartilhadas, o aplicativo deve permitir que o usuário marque uma transação como "compartilhada" e calcule a parte que cabe a cada envolvido.</t>
  </si>
  <si>
    <t>Um painel de "gastos por localização" deve ser implementado, utilizando o GPS do telefone para categorizar gastos com base no estabelecimento onde a compra foi realizada.</t>
  </si>
  <si>
    <t>O aplicativo deve fornecer uma análise de tendências, mostrando se os gastos do usuário em cada categoria estão aumentando, diminuindo ou se mantendo estáveis ao longo dos meses.</t>
  </si>
  <si>
    <t>Para um registro mais rápido, o aplicativo deve permitir a criação de um atalho na tela inicial do Android que abre diretamente a tela de registro de uma nova transação.</t>
  </si>
  <si>
    <t>Para proteger os dados sensíveis, o aplicativo deve oferecer a opção de bloqueio por biometria (impressão digital ou reconhecimento facial) ou por um PIN, utilizando as APIs de autenticação do Android.</t>
  </si>
  <si>
    <t>O aplicativo deve permitir a criação de um "diário de consumo", onde o usuário pode escrever livremente sobre suas motivações para comprar algo, ajudando na autorreflexão.</t>
  </si>
  <si>
    <t>Para promover a sustentabilidade, o aplicativo deve calcular e exibir a "pegada de carbono" estimada com base nos padrões de consumo do usuário (ex: gastos com combustível, energia).</t>
  </si>
  <si>
    <t>O aplicativo deve fornecer uma funcionalidade para comparar o orçamento planejado com o realizado, destacando as variações e as categorias que mais contribuíram para a diferença.</t>
  </si>
  <si>
    <t>Um modo "avião financeiro" deve ser implementado para bloquear temporariamente o acesso a todas as funções do aplicativo, exceto a visualização, para momentos de pausa planejada.</t>
  </si>
  <si>
    <t>O usuário deve poder importar dados financeiros de um arquivo CSV ou de um extrato bancário, desde que siga um formato predefinido, para não precisar registrar tudo manualmente.</t>
  </si>
  <si>
    <t>O sistema deve oferecer a opção de "modo de apresentação", que oculta valores monetários e exibe apenas o progresso em porcentagem para compartilhar com outras pessoas.</t>
  </si>
  <si>
    <t>O aplicativo deve oferecer uma funcionalidade para reverter uma transação, caso o usuário a tenha registrado por engano, com um fluxo claro para fazer a correção.</t>
  </si>
  <si>
    <t>O sistema deve permitir que o usuário defina uma "cota de gastos livres", um valor mensal que pode ser gasto sem categorização, para dar flexibilidade ao orçamento.</t>
  </si>
  <si>
    <t>Para combater compras impulsivas em aplicativos de comércio eletrônico, o sistema deve permitir ao usuário configurar uma lista de aplicativos "gatilho" que, quando abertos, disparam uma notificação com uma pergunta reflexiva sobre a necessidade da compra.</t>
  </si>
  <si>
    <t>RF47</t>
  </si>
  <si>
    <t>O aplicativo deve gerar um "certificado de economia" ao final de um desafio bem-sucedido, que pode ser compartilhado em redes sociais ou guardado como registro.</t>
  </si>
  <si>
    <t>RF69</t>
  </si>
  <si>
    <t>O aplicativo deve implementar um sistema de conquistas (gamificação), onde o usuário ganha distintivos por ações como economizar por um mês seguido ou completar um desafio.</t>
  </si>
  <si>
    <t>Para categorizar transações automaticamente, o sistema deve aprender com as ações do usuário, sugerindo a categoria correta para uma nova despesa baseada em descrições anteriores semelhantes.</t>
  </si>
  <si>
    <t>O Orca Finance deve incluir um jogo de simulação onde o usuário toma decisões financeiras em cenários hipotéticos para aprender sobre consequências de escolhas de consumo.</t>
  </si>
  <si>
    <t>O aplicativo deve exibir um indicador de "saúde financeira", uma pontuação calculada com base em múltiplas métricas, como dívidas, poupança e controle de gastos.</t>
  </si>
  <si>
    <t>Um recurso de "planejador de grandes compras" deve ajudar o usuário a criar um plano de economia para um bem de alto valor, dividindo o custo total em parcelas mensais que caibam em seu orçamento.</t>
  </si>
  <si>
    <t>O sistema deve permitir a criação de "regras de gastos", como "gastos com lazer não podem exceder 10% da renda mensal", e alertar o usuário quando a regra for violada</t>
  </si>
  <si>
    <t>O usuário deve poder configurar o aplicativo para receber um resumo financeiro mensal em formato de relatório PDF, que pode ser salvo ou compartilhado.</t>
  </si>
  <si>
    <t>O sistema deve fornecer um "resumo semanal" dos gastos, enviado por notificação push, que destaca os maiores gastos e o progresso em relação ao orçamento.</t>
  </si>
  <si>
    <t>O aplicativo deve incluir um recurso para digitalizar recibos usando a câmera, utilizando uma biblioteca de reconhecimento óptico de caracteres (OCR) para extrair automaticamente dados como valor, data e estabelecimento.</t>
  </si>
  <si>
    <t>O sistema deve integrar uma API de notícias financeiras para exibir ao usuário um feed de artigos relevantes sobre economia e mercado.</t>
  </si>
  <si>
    <t>O aplicativo deve oferecer a opção de realizar um "check-in" financeiro, onde o usuário responde a perguntas sobre seu estado emocional e hábitos de consumo, e o sistema oferece um feedback personalizado.</t>
  </si>
  <si>
    <t>O Orca Finance deve implementar um sistema de "taxa de realização de metas", que calcula a porcentagem de metas de economia que o usuário conseguiu cumprir nos últimos meses.</t>
  </si>
  <si>
    <t>Um recurso de "desafio de despesas essenciais" deve incentivar o usuário a reduzir gastos em uma categoria específica, sugerindo alternativas mais econômicas.</t>
  </si>
  <si>
    <t>Mapeamento Requisito Funcional → User Story</t>
  </si>
  <si>
    <t>Cobertura dos RF01–RF71. A coluna complementar só é usada quando existe responsabilidade funcional real em mais de uma User Story.</t>
  </si>
  <si>
    <t>Prioridade RF</t>
  </si>
  <si>
    <t>US principal</t>
  </si>
  <si>
    <t>Título US principal</t>
  </si>
  <si>
    <t>Épico principal</t>
  </si>
  <si>
    <t>US complementar</t>
  </si>
  <si>
    <t>Título US complementar</t>
  </si>
  <si>
    <t>Épico complementar</t>
  </si>
  <si>
    <t>Observação de rastreabilidade</t>
  </si>
  <si>
    <t>Status cobertura</t>
  </si>
  <si>
    <t>Coberto</t>
  </si>
  <si>
    <t>RF58 possui duas responsabilidades inseparáveis: registrar o método de pagamento em US02 e permitir filtro por esse método em US03.</t>
  </si>
  <si>
    <t>Cobertura múltipla justificada</t>
  </si>
  <si>
    <t>Dependências entre User Stories</t>
  </si>
  <si>
    <t>Somente dependências funcionais ou de implementação suficientemente justificadas. Dependências que exigiriam decisão ainda não tomada não foram assumidas.</t>
  </si>
  <si>
    <t>Depende de</t>
  </si>
  <si>
    <t>Funcionalidade dependência</t>
  </si>
  <si>
    <t>Justificativa</t>
  </si>
  <si>
    <t>Os detalhes complementam uma transação já existente.</t>
  </si>
  <si>
    <t>Busca e filtros operam sobre transações registradas.</t>
  </si>
  <si>
    <t>O filtro por método de pagamento do RF58 exige esse atributo registrado na transação.</t>
  </si>
  <si>
    <t>A auditoria registra alterações realizadas em transações.</t>
  </si>
  <si>
    <t>O consumo do orçamento é apurado a partir das despesas registradas.</t>
  </si>
  <si>
    <t>O orçamento mensal é definido por categoria.</t>
  </si>
  <si>
    <t>Os orçamentos flexíveis/temporários/evento estendem o mecanismo de orçamento já estabelecido, conforme a consolidação de RN-ORC-02/RN-ORC-03.</t>
  </si>
  <si>
    <t>O orçamento zero usa a renda do período registrada no domínio financeiro.</t>
  </si>
  <si>
    <t>A renda precisa ser distribuída entre categorias.</t>
  </si>
  <si>
    <t>O compartilhamento exige uma meta existente e seu progresso.</t>
  </si>
  <si>
    <t>A pergunta reflexiva ocorre no fluxo de registro de compra.</t>
  </si>
  <si>
    <t>RF70 depende da classificação de compra não essencial, tratada como atributo da transação.</t>
  </si>
  <si>
    <t>Os relatórios usam as despesas registradas.</t>
  </si>
  <si>
    <t>A distribuição é apresentada por categoria.</t>
  </si>
  <si>
    <t>A exportação utiliza os dados financeiros/transações registrados.</t>
  </si>
  <si>
    <t>Saldo e gastos do mês são derivados das transações.</t>
  </si>
  <si>
    <t>O dashboard exibe o progresso das metas de economia.</t>
  </si>
  <si>
    <t>Os lembretes inteligentes podem usar o histórico de gastos/transações.</t>
  </si>
  <si>
    <t>O recibo é anexado durante o registro de uma despesa.</t>
  </si>
  <si>
    <t>As regras de automação são aplicadas a transações.</t>
  </si>
  <si>
    <t>As regras podem usar categoria/subcategoria como condição.</t>
  </si>
  <si>
    <t>A sincronização precisa de dados financeiros persistidos para transportar entre dispositivos.</t>
  </si>
  <si>
    <t>A sincronização precisa manter o isolamento do perfil financeiro ativo; identidade da conta permanece pendente em RN-ID-01.</t>
  </si>
  <si>
    <t>A conversão ocorre no registro de gastos em moeda estrangeira.</t>
  </si>
  <si>
    <t>A moeda-base pertence ao perfil financeiro.</t>
  </si>
  <si>
    <t>Recorrências e transações futuras geram/associam lançamentos financeiros.</t>
  </si>
  <si>
    <t>As métricas são calculadas a partir dos dados financeiros registrados.</t>
  </si>
  <si>
    <t>RF25/RF60 medem impacto sobre orçamento atual e futuro.</t>
  </si>
  <si>
    <t>Limites e alertas dependem dos gastos efetivamente registrados.</t>
  </si>
  <si>
    <t>RF54 aplica limite a uma categoria específica.</t>
  </si>
  <si>
    <t>A projeção parte do histórico e dos lançamentos financeiros.</t>
  </si>
  <si>
    <t>RF14/RF38 utilizam receitas/despesas programadas, recorrentes e agendadas.</t>
  </si>
  <si>
    <t>A divisão compartilhada é atributo/comportamento de uma transação.</t>
  </si>
  <si>
    <t>A localização do estabelecimento é associada à compra/transação que será categorizada.</t>
  </si>
  <si>
    <t>A tendência usa o histórico de gastos.</t>
  </si>
  <si>
    <t>A tendência é calculada por categoria.</t>
  </si>
  <si>
    <t>O atalho abre diretamente o fluxo de nova transação.</t>
  </si>
  <si>
    <t>A estimativa usa padrões de consumo derivados das transações.</t>
  </si>
  <si>
    <t>A metodologia pode depender de categorias de consumo.</t>
  </si>
  <si>
    <t>O realizado vem das transações registradas.</t>
  </si>
  <si>
    <t>A comparação exige um orçamento planejado.</t>
  </si>
  <si>
    <t>A importação popula o mesmo modelo de transações financeiras.</t>
  </si>
  <si>
    <t>Só é possível reverter uma transação existente.</t>
  </si>
  <si>
    <t>A reversão deve preservar a rastreabilidade/auditoria da exclusão.</t>
  </si>
  <si>
    <t>A cota livre é um mecanismo mensal de flexibilidade do orçamento.</t>
  </si>
  <si>
    <t>O certificado/conquista pode decorrer da conclusão do desafio de economia.</t>
  </si>
  <si>
    <t>O certificado/conquista também pode decorrer de outros desafios concluídos, incluindo o de despesas essenciais.</t>
  </si>
  <si>
    <t>A sugestão usa descrições anteriores de transações do usuário.</t>
  </si>
  <si>
    <t>A saída da sugestão é uma categoria existente.</t>
  </si>
  <si>
    <t>O indicador de saúde usa múltiplas métricas; fórmula e demais fontes ainda são pendentes.</t>
  </si>
  <si>
    <t>O plano mensal da grande compra precisa caber no orçamento.</t>
  </si>
  <si>
    <t>As regras de gastos são avaliadas sobre gastos/renda registrados.</t>
  </si>
  <si>
    <t>Regras podem se aplicar a categorias, como no exemplo de lazer.</t>
  </si>
  <si>
    <t>O resumo mensal é produzido a partir dos dados financeiros do período.</t>
  </si>
  <si>
    <t>O resumo semanal destaca os maiores gastos do período.</t>
  </si>
  <si>
    <t>RF26 exige também o progresso em relação ao orçamento.</t>
  </si>
  <si>
    <t>OCR é uma extensão da captura/anexo do recibo.</t>
  </si>
  <si>
    <t>A taxa histórica é calculada a partir do histórico de metas e seus resultados.</t>
  </si>
  <si>
    <t>O desafio depende da classificação de essencialidade prevista nas regras do domínio de transações.</t>
  </si>
  <si>
    <t>RF65 reduz gastos em uma categoria específica.</t>
  </si>
  <si>
    <t>Orça Finance — User Stories por Prioridade e Sprint Candidata</t>
  </si>
  <si>
    <t>Sprint</t>
  </si>
  <si>
    <t>Média</t>
  </si>
  <si>
    <t>US60</t>
  </si>
  <si>
    <t>Cadastro de usuario</t>
  </si>
  <si>
    <t>Como usuário, quero criar uma conta e me autenticar no aplicativo para 
acessar de forma segura meus perfis e dados financeiros.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</si>
</sst>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14"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EADCF8"/>
        </patternFill>
      </fill>
    </dxf>
    <dxf>
      <font>
        <b/>
      </font>
      <fill>
        <patternFill patternType="solid">
          <bgColor rgb="FFD9EAF7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User Stories por Épico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Qtd. US</c:v>
          </c:tx>
          <c:invertIfNegative val="1"/>
          <c:cat>
            <c:strRef>
              <c:f>Resumo!$D$5:$D$12</c:f>
              <c:strCache>
                <c:ptCount val="8"/>
                <c:pt idx="0">
                  <c:v>Transações e Organização Financeira</c:v>
                </c:pt>
                <c:pt idx="1">
                  <c:v>Orçamentos e Regras de Gastos</c:v>
                </c:pt>
                <c:pt idx="2">
                  <c:v>Metas, Desafios e Consumo Consciente</c:v>
                </c:pt>
                <c:pt idx="3">
                  <c:v>Análises, Relatórios e Indicadores</c:v>
                </c:pt>
                <c:pt idx="4">
                  <c:v>Planejamento e Simulação Financeira</c:v>
                </c:pt>
                <c:pt idx="5">
                  <c:v>Automação, Recorrência e Entrada Assistida</c:v>
                </c:pt>
                <c:pt idx="6">
                  <c:v>Perfis, Sincronização, Segurança e Experiência</c:v>
                </c:pt>
                <c:pt idx="7">
                  <c:v>Educação e Conteúdo Financeiro</c:v>
                </c:pt>
              </c:strCache>
            </c:strRef>
          </c:cat>
          <c:val>
            <c:numRef>
              <c:f>Resumo!$E$5:$E$12</c:f>
              <c:numCache>
                <c:formatCode>General</c:formatCode>
                <c:ptCount val="8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4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9-4A5B-A8FC-A790D488B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picosTable" displayName="EpicosTable" ref="A4:E12" totalsRowShown="0">
  <tableColumns count="5">
    <tableColumn id="1" xr3:uid="{00000000-0010-0000-0000-000001000000}" name="Épico"/>
    <tableColumn id="2" xr3:uid="{00000000-0010-0000-0000-000002000000}" name="Nome"/>
    <tableColumn id="3" xr3:uid="{00000000-0010-0000-0000-000003000000}" name="Objetivo"/>
    <tableColumn id="4" xr3:uid="{00000000-0010-0000-0000-000004000000}" name="User Stories"/>
    <tableColumn id="5" xr3:uid="{00000000-0010-0000-0000-000005000000}" name="Qtd. 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BA9CB1-1161-4AED-9129-B59180989F74}" name="PrioridadesSprintsTable" displayName="PrioridadesSprintsTable" ref="A2:D60" totalsRowShown="0">
  <autoFilter ref="A2:D60" xr:uid="{97BA9CB1-1161-4AED-9129-B59180989F74}"/>
  <sortState xmlns:xlrd2="http://schemas.microsoft.com/office/spreadsheetml/2017/richdata2" ref="A3:D60">
    <sortCondition ref="D2:D60"/>
  </sortState>
  <tableColumns count="4">
    <tableColumn id="1" xr3:uid="{2B6AD9ED-E4A9-4B5C-A815-84C6342BAD51}" name="US"/>
    <tableColumn id="2" xr3:uid="{DD8DB9FA-849A-43B2-AF65-9EAD1C82992D}" name="Texto da User Story"/>
    <tableColumn id="3" xr3:uid="{CD566E47-F31D-4076-9A29-C669F15BB528}" name="Prioridade"/>
    <tableColumn id="4" xr3:uid="{01C2E5D3-F133-4A23-A523-349776D7D311}" name="Spr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cklogFinalTable" displayName="BacklogFinalTable" ref="A4:K62" totalsRowShown="0">
  <autoFilter ref="A4:K62" xr:uid="{00000000-000C-0000-FFFF-FFFF01000000}"/>
  <tableColumns count="11">
    <tableColumn id="1" xr3:uid="{00000000-0010-0000-0100-000001000000}" name="US"/>
    <tableColumn id="2" xr3:uid="{00000000-0010-0000-0100-000002000000}" name="Épico"/>
    <tableColumn id="3" xr3:uid="{00000000-0010-0000-0100-000003000000}" name="Funcionalidade"/>
    <tableColumn id="4" xr3:uid="{00000000-0010-0000-0100-000004000000}" name="Prioridade"/>
    <tableColumn id="5" xr3:uid="{00000000-0010-0000-0100-000005000000}" name="Texto da User Story"/>
    <tableColumn id="6" xr3:uid="{00000000-0010-0000-0100-000006000000}" name="RFs vinculados"/>
    <tableColumn id="7" xr3:uid="{00000000-0010-0000-0100-000007000000}" name="Dependências (US)"/>
    <tableColumn id="8" xr3:uid="{00000000-0010-0000-0100-000008000000}" name="RN / decisões relacionadas"/>
    <tableColumn id="9" xr3:uid="{00000000-0010-0000-0100-000009000000}" name="Situação de decisão"/>
    <tableColumn id="10" xr3:uid="{00000000-0010-0000-0100-00000A000000}" name="Pendências / ações RN"/>
    <tableColumn id="11" xr3:uid="{00000000-0010-0000-0100-00000B000000}" name="Backlog revisado anterior relacion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RFTable" displayName="USRFTable" ref="A4:J76" totalsRowShown="0">
  <tableColumns count="10">
    <tableColumn id="1" xr3:uid="{00000000-0010-0000-0200-000001000000}" name="US"/>
    <tableColumn id="2" xr3:uid="{00000000-0010-0000-0200-000002000000}" name="Épico"/>
    <tableColumn id="3" xr3:uid="{00000000-0010-0000-0200-000003000000}" name="Funcionalidade"/>
    <tableColumn id="4" xr3:uid="{00000000-0010-0000-0200-000004000000}" name="Texto da User Story"/>
    <tableColumn id="5" xr3:uid="{00000000-0010-0000-0200-000005000000}" name="RF"/>
    <tableColumn id="6" xr3:uid="{00000000-0010-0000-0200-000006000000}" name="Tipo de cobertura"/>
    <tableColumn id="7" xr3:uid="{00000000-0010-0000-0200-000007000000}" name="Requisito funcional original"/>
    <tableColumn id="8" xr3:uid="{00000000-0010-0000-0200-000008000000}" name="Dependências (US)"/>
    <tableColumn id="9" xr3:uid="{00000000-0010-0000-0200-000009000000}" name="Prioridade"/>
    <tableColumn id="10" xr3:uid="{00000000-0010-0000-0200-00000A000000}" name="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FUSTable" displayName="RFUSTable" ref="A4:K75" totalsRowShown="0">
  <tableColumns count="11">
    <tableColumn id="1" xr3:uid="{00000000-0010-0000-0300-000001000000}" name="RF"/>
    <tableColumn id="2" xr3:uid="{00000000-0010-0000-0300-000002000000}" name="Requisito funcional original"/>
    <tableColumn id="3" xr3:uid="{00000000-0010-0000-0300-000003000000}" name="Prioridade RF"/>
    <tableColumn id="4" xr3:uid="{00000000-0010-0000-0300-000004000000}" name="US principal"/>
    <tableColumn id="5" xr3:uid="{00000000-0010-0000-0300-000005000000}" name="Título US principal"/>
    <tableColumn id="6" xr3:uid="{00000000-0010-0000-0300-000006000000}" name="Épico principal"/>
    <tableColumn id="7" xr3:uid="{00000000-0010-0000-0300-000007000000}" name="US complementar"/>
    <tableColumn id="8" xr3:uid="{00000000-0010-0000-0300-000008000000}" name="Título US complementar"/>
    <tableColumn id="9" xr3:uid="{00000000-0010-0000-0300-000009000000}" name="Épico complementar"/>
    <tableColumn id="10" xr3:uid="{00000000-0010-0000-0300-00000A000000}" name="Observação de rastreabilidade"/>
    <tableColumn id="11" xr3:uid="{00000000-0010-0000-0300-00000B000000}" name="Status cobertu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pendenciasTable" displayName="DependenciasTable" ref="A4:E64" totalsRowShown="0">
  <tableColumns count="5">
    <tableColumn id="1" xr3:uid="{00000000-0010-0000-0400-000001000000}" name="US"/>
    <tableColumn id="2" xr3:uid="{00000000-0010-0000-0400-000002000000}" name="Funcionalidade"/>
    <tableColumn id="3" xr3:uid="{00000000-0010-0000-0400-000003000000}" name="Depende de"/>
    <tableColumn id="4" xr3:uid="{00000000-0010-0000-0400-000004000000}" name="Funcionalidade dependência"/>
    <tableColumn id="5" xr3:uid="{00000000-0010-0000-0400-000005000000}" name="Justifica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opLeftCell="A10" workbookViewId="0">
      <selection sqref="A1:K1"/>
    </sheetView>
  </sheetViews>
  <sheetFormatPr defaultRowHeight="13.8"/>
  <cols>
    <col min="1" max="1" width="38" customWidth="1"/>
    <col min="2" max="2" width="18" customWidth="1"/>
    <col min="3" max="3" width="54" customWidth="1"/>
    <col min="4" max="4" width="42" customWidth="1"/>
    <col min="5" max="11" width="12" customWidth="1"/>
  </cols>
  <sheetData>
    <row r="1" spans="1:11" ht="22.3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.1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24" customHeight="1">
      <c r="A4" s="1" t="s">
        <v>2</v>
      </c>
      <c r="B4" s="1" t="s">
        <v>3</v>
      </c>
      <c r="D4" s="1" t="s">
        <v>4</v>
      </c>
      <c r="E4" s="1" t="s">
        <v>5</v>
      </c>
    </row>
    <row r="5" spans="1:11">
      <c r="A5" s="3" t="s">
        <v>6</v>
      </c>
      <c r="B5" s="2">
        <f>COUNTA(Épicos!A5:A50)</f>
        <v>8</v>
      </c>
      <c r="D5" s="2" t="s">
        <v>7</v>
      </c>
      <c r="E5" s="2">
        <v>9</v>
      </c>
    </row>
    <row r="6" spans="1:11">
      <c r="A6" s="3" t="s">
        <v>8</v>
      </c>
      <c r="B6" s="2">
        <f>COUNTA('Backlog Revisado'!A5:A202)</f>
        <v>58</v>
      </c>
      <c r="D6" s="2" t="s">
        <v>9</v>
      </c>
      <c r="E6" s="2">
        <v>7</v>
      </c>
    </row>
    <row r="7" spans="1:11">
      <c r="A7" s="3" t="s">
        <v>10</v>
      </c>
      <c r="B7" s="2">
        <f>COUNTA('RF → US'!A5:A200)</f>
        <v>71</v>
      </c>
      <c r="D7" s="2" t="s">
        <v>11</v>
      </c>
      <c r="E7" s="2">
        <v>9</v>
      </c>
    </row>
    <row r="8" spans="1:11">
      <c r="A8" s="3" t="s">
        <v>12</v>
      </c>
      <c r="B8" s="2">
        <f>COUNTIF('RF → US'!K5:K200,"Coberto")+COUNTIF('RF → US'!K5:K200,"Cobertura múltipla justificada")</f>
        <v>71</v>
      </c>
      <c r="D8" s="2" t="s">
        <v>13</v>
      </c>
      <c r="E8" s="2">
        <v>11</v>
      </c>
    </row>
    <row r="9" spans="1:11">
      <c r="A9" s="3" t="s">
        <v>14</v>
      </c>
      <c r="B9" s="2">
        <f>COUNTIF('RF → US'!K5:K200,"Sem cobertura")</f>
        <v>0</v>
      </c>
      <c r="D9" s="2" t="s">
        <v>15</v>
      </c>
      <c r="E9" s="2">
        <v>4</v>
      </c>
    </row>
    <row r="10" spans="1:11">
      <c r="A10" s="3" t="s">
        <v>16</v>
      </c>
      <c r="B10" s="2">
        <f>COUNTIF('RF → US'!K5:K200,"Cobertura múltipla justificada")</f>
        <v>1</v>
      </c>
      <c r="D10" s="2" t="s">
        <v>17</v>
      </c>
      <c r="E10" s="2">
        <v>7</v>
      </c>
    </row>
    <row r="11" spans="1:11">
      <c r="A11" s="3" t="s">
        <v>18</v>
      </c>
      <c r="B11" s="2" t="e">
        <f>COUNTIF(#REF!,"Criada")</f>
        <v>#REF!</v>
      </c>
      <c r="D11" s="2" t="s">
        <v>19</v>
      </c>
      <c r="E11" s="2">
        <v>7</v>
      </c>
    </row>
    <row r="12" spans="1:11">
      <c r="A12" s="3" t="s">
        <v>20</v>
      </c>
      <c r="B12" s="2" t="e">
        <f>COUNTIF(#REF!,"Dividida")+COUNTIF(#REF!,"Dividida / Movida de Épico")</f>
        <v>#REF!</v>
      </c>
      <c r="D12" s="2" t="s">
        <v>21</v>
      </c>
      <c r="E12" s="2">
        <v>3</v>
      </c>
    </row>
    <row r="13" spans="1:11">
      <c r="A13" s="3" t="s">
        <v>22</v>
      </c>
      <c r="B13" s="2" t="e">
        <f>COUNTIF(#REF!,"*Unificada*")+COUNTIF(#REF!,"*Removida*")</f>
        <v>#REF!</v>
      </c>
    </row>
    <row r="14" spans="1:11">
      <c r="A14" s="3" t="s">
        <v>23</v>
      </c>
      <c r="B14" s="2">
        <f>COUNTA(#REF!)</f>
        <v>1</v>
      </c>
    </row>
    <row r="17" spans="1:3" ht="24" customHeight="1">
      <c r="A17" s="1" t="s">
        <v>24</v>
      </c>
      <c r="B17" s="1" t="s">
        <v>25</v>
      </c>
      <c r="C17" s="1" t="s">
        <v>26</v>
      </c>
    </row>
    <row r="18" spans="1:3">
      <c r="A18" s="2" t="s">
        <v>27</v>
      </c>
      <c r="B18" s="2" t="s">
        <v>28</v>
      </c>
      <c r="C18" s="2" t="s">
        <v>29</v>
      </c>
    </row>
    <row r="19" spans="1:3">
      <c r="A19" s="2" t="s">
        <v>30</v>
      </c>
      <c r="B19" s="2" t="s">
        <v>28</v>
      </c>
      <c r="C19" s="2" t="s">
        <v>29</v>
      </c>
    </row>
    <row r="20" spans="1:3">
      <c r="A20" s="2" t="s">
        <v>31</v>
      </c>
      <c r="B20" s="2" t="s">
        <v>28</v>
      </c>
      <c r="C20" s="2" t="s">
        <v>29</v>
      </c>
    </row>
    <row r="21" spans="1:3">
      <c r="A21" s="2" t="s">
        <v>32</v>
      </c>
      <c r="B21" s="2" t="s">
        <v>28</v>
      </c>
      <c r="C21" s="2" t="s">
        <v>29</v>
      </c>
    </row>
    <row r="22" spans="1:3">
      <c r="A22" s="2" t="s">
        <v>33</v>
      </c>
      <c r="B22" s="2" t="s">
        <v>28</v>
      </c>
      <c r="C22" s="2" t="s">
        <v>29</v>
      </c>
    </row>
    <row r="23" spans="1:3">
      <c r="A23" s="2" t="s">
        <v>34</v>
      </c>
      <c r="B23" s="2" t="s">
        <v>28</v>
      </c>
      <c r="C23" s="2" t="s">
        <v>29</v>
      </c>
    </row>
    <row r="24" spans="1:3">
      <c r="A24" s="2" t="s">
        <v>35</v>
      </c>
      <c r="B24" s="2" t="s">
        <v>28</v>
      </c>
      <c r="C24" s="2" t="s">
        <v>29</v>
      </c>
    </row>
    <row r="25" spans="1:3">
      <c r="A25" s="2" t="s">
        <v>36</v>
      </c>
      <c r="B25" s="2" t="s">
        <v>28</v>
      </c>
      <c r="C25" s="2" t="s">
        <v>29</v>
      </c>
    </row>
    <row r="26" spans="1:3">
      <c r="A26" s="2" t="s">
        <v>37</v>
      </c>
      <c r="B26" s="2" t="s">
        <v>28</v>
      </c>
      <c r="C26" s="2" t="s">
        <v>29</v>
      </c>
    </row>
    <row r="27" spans="1:3">
      <c r="A27" s="2" t="s">
        <v>38</v>
      </c>
      <c r="B27" s="2" t="s">
        <v>28</v>
      </c>
      <c r="C27" s="2" t="s">
        <v>29</v>
      </c>
    </row>
    <row r="30" spans="1:3" ht="24" customHeight="1">
      <c r="A30" s="1" t="s">
        <v>39</v>
      </c>
      <c r="B30" s="1" t="s">
        <v>25</v>
      </c>
      <c r="C30" s="1" t="s">
        <v>40</v>
      </c>
    </row>
    <row r="31" spans="1:3" ht="27.6">
      <c r="A31" s="2" t="s">
        <v>41</v>
      </c>
      <c r="B31" s="2" t="s">
        <v>42</v>
      </c>
      <c r="C31" s="2" t="s">
        <v>43</v>
      </c>
    </row>
    <row r="32" spans="1:3" ht="27.6">
      <c r="A32" s="2" t="s">
        <v>44</v>
      </c>
      <c r="B32" s="2" t="s">
        <v>45</v>
      </c>
      <c r="C32" s="2" t="s">
        <v>46</v>
      </c>
    </row>
    <row r="33" spans="1:3" ht="27.6">
      <c r="A33" s="2" t="s">
        <v>47</v>
      </c>
      <c r="B33" s="2" t="s">
        <v>48</v>
      </c>
      <c r="C33" s="2" t="s">
        <v>49</v>
      </c>
    </row>
    <row r="34" spans="1:3" ht="27.6">
      <c r="A34" s="2" t="s">
        <v>50</v>
      </c>
      <c r="B34" s="2" t="s">
        <v>51</v>
      </c>
      <c r="C34" s="2" t="s">
        <v>52</v>
      </c>
    </row>
    <row r="35" spans="1:3" ht="27.6">
      <c r="A35" s="2" t="s">
        <v>53</v>
      </c>
      <c r="B35" s="2" t="s">
        <v>54</v>
      </c>
      <c r="C35" s="2" t="s">
        <v>55</v>
      </c>
    </row>
    <row r="36" spans="1:3" ht="27.6">
      <c r="A36" s="2" t="s">
        <v>56</v>
      </c>
      <c r="B36" s="2" t="s">
        <v>57</v>
      </c>
      <c r="C36" s="2" t="s">
        <v>58</v>
      </c>
    </row>
    <row r="37" spans="1:3" ht="27.6">
      <c r="A37" s="2" t="s">
        <v>59</v>
      </c>
      <c r="B37" s="2" t="s">
        <v>60</v>
      </c>
      <c r="C37" s="2" t="s">
        <v>61</v>
      </c>
    </row>
    <row r="38" spans="1:3" ht="27.6">
      <c r="A38" s="2" t="s">
        <v>62</v>
      </c>
      <c r="B38" s="2" t="s">
        <v>63</v>
      </c>
      <c r="C38" s="2" t="s">
        <v>64</v>
      </c>
    </row>
  </sheetData>
  <mergeCells count="2">
    <mergeCell ref="A1:K1"/>
    <mergeCell ref="A2:K2"/>
  </mergeCells>
  <conditionalFormatting sqref="B18:B27">
    <cfRule type="expression" dxfId="13" priority="1">
      <formula>B18="OK"</formula>
    </cfRule>
    <cfRule type="expression" dxfId="12" priority="2">
      <formula>B18="ERRO"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sqref="A1:E1"/>
    </sheetView>
  </sheetViews>
  <sheetFormatPr defaultRowHeight="13.8"/>
  <cols>
    <col min="1" max="1" width="10" customWidth="1"/>
    <col min="2" max="2" width="36" customWidth="1"/>
    <col min="3" max="3" width="62" customWidth="1"/>
    <col min="4" max="4" width="58" customWidth="1"/>
    <col min="5" max="5" width="10" customWidth="1"/>
  </cols>
  <sheetData>
    <row r="1" spans="1:5" ht="22.35" customHeight="1">
      <c r="A1" s="8" t="s">
        <v>65</v>
      </c>
      <c r="B1" s="8"/>
      <c r="C1" s="8"/>
      <c r="D1" s="8"/>
      <c r="E1" s="8"/>
    </row>
    <row r="2" spans="1:5" ht="27.15" customHeight="1">
      <c r="A2" s="9" t="s">
        <v>66</v>
      </c>
      <c r="B2" s="9"/>
      <c r="C2" s="9"/>
      <c r="D2" s="9"/>
      <c r="E2" s="9"/>
    </row>
    <row r="4" spans="1:5" ht="24" customHeight="1">
      <c r="A4" s="1" t="s">
        <v>4</v>
      </c>
      <c r="B4" s="1" t="s">
        <v>67</v>
      </c>
      <c r="C4" s="1" t="s">
        <v>68</v>
      </c>
      <c r="D4" s="1" t="s">
        <v>69</v>
      </c>
      <c r="E4" s="1" t="s">
        <v>5</v>
      </c>
    </row>
    <row r="5" spans="1:5" ht="27.6">
      <c r="A5" s="2" t="s">
        <v>70</v>
      </c>
      <c r="B5" s="2" t="s">
        <v>7</v>
      </c>
      <c r="C5" s="2" t="s">
        <v>71</v>
      </c>
      <c r="D5" s="2" t="s">
        <v>72</v>
      </c>
      <c r="E5" s="2">
        <v>9</v>
      </c>
    </row>
    <row r="6" spans="1:5" ht="27.6">
      <c r="A6" s="2" t="s">
        <v>73</v>
      </c>
      <c r="B6" s="2" t="s">
        <v>9</v>
      </c>
      <c r="C6" s="2" t="s">
        <v>74</v>
      </c>
      <c r="D6" s="2" t="s">
        <v>75</v>
      </c>
      <c r="E6" s="2">
        <v>7</v>
      </c>
    </row>
    <row r="7" spans="1:5" ht="27.6">
      <c r="A7" s="2" t="s">
        <v>76</v>
      </c>
      <c r="B7" s="2" t="s">
        <v>11</v>
      </c>
      <c r="C7" s="2" t="s">
        <v>77</v>
      </c>
      <c r="D7" s="2" t="s">
        <v>78</v>
      </c>
      <c r="E7" s="2">
        <v>9</v>
      </c>
    </row>
    <row r="8" spans="1:5" ht="27.6">
      <c r="A8" s="2" t="s">
        <v>79</v>
      </c>
      <c r="B8" s="2" t="s">
        <v>13</v>
      </c>
      <c r="C8" s="2" t="s">
        <v>80</v>
      </c>
      <c r="D8" s="2" t="s">
        <v>81</v>
      </c>
      <c r="E8" s="2">
        <v>11</v>
      </c>
    </row>
    <row r="9" spans="1:5" ht="27.6">
      <c r="A9" s="2" t="s">
        <v>82</v>
      </c>
      <c r="B9" s="2" t="s">
        <v>15</v>
      </c>
      <c r="C9" s="2" t="s">
        <v>83</v>
      </c>
      <c r="D9" s="2" t="s">
        <v>84</v>
      </c>
      <c r="E9" s="2">
        <v>4</v>
      </c>
    </row>
    <row r="10" spans="1:5" ht="27.6">
      <c r="A10" s="2" t="s">
        <v>85</v>
      </c>
      <c r="B10" s="2" t="s">
        <v>17</v>
      </c>
      <c r="C10" s="2" t="s">
        <v>86</v>
      </c>
      <c r="D10" s="2" t="s">
        <v>87</v>
      </c>
      <c r="E10" s="2">
        <v>7</v>
      </c>
    </row>
    <row r="11" spans="1:5" ht="27.6">
      <c r="A11" s="2" t="s">
        <v>88</v>
      </c>
      <c r="B11" s="2" t="s">
        <v>19</v>
      </c>
      <c r="C11" s="2" t="s">
        <v>89</v>
      </c>
      <c r="D11" s="2" t="s">
        <v>90</v>
      </c>
      <c r="E11" s="2">
        <v>7</v>
      </c>
    </row>
    <row r="12" spans="1:5" ht="27.6">
      <c r="A12" s="2" t="s">
        <v>91</v>
      </c>
      <c r="B12" s="2" t="s">
        <v>21</v>
      </c>
      <c r="C12" s="2" t="s">
        <v>92</v>
      </c>
      <c r="D12" s="2" t="s">
        <v>93</v>
      </c>
      <c r="E12" s="2">
        <v>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D648-E6A6-4971-848C-EE8CFD154D43}">
  <dimension ref="A1:D60"/>
  <sheetViews>
    <sheetView tabSelected="1" workbookViewId="0">
      <selection activeCell="D20" sqref="D20"/>
    </sheetView>
  </sheetViews>
  <sheetFormatPr defaultRowHeight="13.8"/>
  <cols>
    <col min="1" max="1" width="10" customWidth="1"/>
    <col min="2" max="2" width="72" customWidth="1"/>
    <col min="3" max="3" width="14" customWidth="1"/>
    <col min="4" max="4" width="10" customWidth="1"/>
  </cols>
  <sheetData>
    <row r="1" spans="1:4" ht="19.2">
      <c r="A1" s="7" t="s">
        <v>600</v>
      </c>
      <c r="B1" s="7"/>
      <c r="C1" s="7"/>
      <c r="D1" s="7"/>
    </row>
    <row r="2" spans="1:4">
      <c r="A2" s="4" t="s">
        <v>96</v>
      </c>
      <c r="B2" s="4" t="s">
        <v>99</v>
      </c>
      <c r="C2" s="4" t="s">
        <v>98</v>
      </c>
      <c r="D2" s="4" t="s">
        <v>601</v>
      </c>
    </row>
    <row r="3" spans="1:4" ht="27.6">
      <c r="A3" s="5" t="s">
        <v>106</v>
      </c>
      <c r="B3" s="2" t="s">
        <v>109</v>
      </c>
      <c r="C3" s="5" t="s">
        <v>108</v>
      </c>
      <c r="D3" s="5">
        <v>1</v>
      </c>
    </row>
    <row r="4" spans="1:4" ht="41.4">
      <c r="A4" s="5" t="s">
        <v>115</v>
      </c>
      <c r="B4" s="2" t="s">
        <v>118</v>
      </c>
      <c r="C4" s="5" t="s">
        <v>108</v>
      </c>
      <c r="D4" s="5">
        <v>1</v>
      </c>
    </row>
    <row r="5" spans="1:4" ht="27.6">
      <c r="A5" s="5" t="s">
        <v>123</v>
      </c>
      <c r="B5" s="2" t="s">
        <v>125</v>
      </c>
      <c r="C5" s="5" t="s">
        <v>108</v>
      </c>
      <c r="D5" s="5">
        <v>1</v>
      </c>
    </row>
    <row r="6" spans="1:4" ht="27.6">
      <c r="A6" s="5" t="s">
        <v>135</v>
      </c>
      <c r="B6" s="2" t="s">
        <v>137</v>
      </c>
      <c r="C6" s="5" t="s">
        <v>108</v>
      </c>
      <c r="D6" s="5">
        <v>1</v>
      </c>
    </row>
    <row r="7" spans="1:4" ht="27.6">
      <c r="A7" s="5" t="s">
        <v>140</v>
      </c>
      <c r="B7" s="2" t="s">
        <v>142</v>
      </c>
      <c r="C7" s="5" t="s">
        <v>108</v>
      </c>
      <c r="D7" s="5">
        <v>1</v>
      </c>
    </row>
    <row r="8" spans="1:4" ht="41.4">
      <c r="A8" s="5" t="s">
        <v>41</v>
      </c>
      <c r="B8" s="2" t="s">
        <v>160</v>
      </c>
      <c r="C8" s="5" t="s">
        <v>108</v>
      </c>
      <c r="D8" s="5">
        <v>1</v>
      </c>
    </row>
    <row r="9" spans="1:4" ht="27.6">
      <c r="A9" s="5" t="s">
        <v>168</v>
      </c>
      <c r="B9" s="2" t="s">
        <v>170</v>
      </c>
      <c r="C9" s="5" t="s">
        <v>108</v>
      </c>
      <c r="D9" s="5">
        <v>1</v>
      </c>
    </row>
    <row r="10" spans="1:4" ht="27.6">
      <c r="A10" s="5" t="s">
        <v>174</v>
      </c>
      <c r="B10" s="2" t="s">
        <v>176</v>
      </c>
      <c r="C10" s="5" t="s">
        <v>108</v>
      </c>
      <c r="D10" s="5">
        <v>1</v>
      </c>
    </row>
    <row r="11" spans="1:4" ht="41.4">
      <c r="A11" s="5" t="s">
        <v>47</v>
      </c>
      <c r="B11" s="2" t="s">
        <v>179</v>
      </c>
      <c r="C11" s="5" t="s">
        <v>602</v>
      </c>
      <c r="D11" s="5">
        <v>1</v>
      </c>
    </row>
    <row r="12" spans="1:4" ht="27.6">
      <c r="A12" s="5" t="s">
        <v>181</v>
      </c>
      <c r="B12" s="2" t="s">
        <v>183</v>
      </c>
      <c r="C12" s="5" t="s">
        <v>108</v>
      </c>
      <c r="D12" s="5">
        <v>1</v>
      </c>
    </row>
    <row r="13" spans="1:4" ht="41.4">
      <c r="A13" s="5" t="s">
        <v>53</v>
      </c>
      <c r="B13" s="2" t="s">
        <v>207</v>
      </c>
      <c r="C13" s="5" t="s">
        <v>602</v>
      </c>
      <c r="D13" s="5">
        <v>1</v>
      </c>
    </row>
    <row r="14" spans="1:4" ht="27.6">
      <c r="A14" s="5" t="s">
        <v>231</v>
      </c>
      <c r="B14" s="2" t="s">
        <v>233</v>
      </c>
      <c r="C14" s="5" t="s">
        <v>108</v>
      </c>
      <c r="D14" s="5">
        <v>1</v>
      </c>
    </row>
    <row r="15" spans="1:4" ht="41.4">
      <c r="A15" s="5" t="s">
        <v>256</v>
      </c>
      <c r="B15" s="2" t="s">
        <v>258</v>
      </c>
      <c r="C15" s="5" t="s">
        <v>108</v>
      </c>
      <c r="D15" s="5">
        <v>1</v>
      </c>
    </row>
    <row r="16" spans="1:4" ht="41.4">
      <c r="A16" s="5" t="s">
        <v>297</v>
      </c>
      <c r="B16" s="2" t="s">
        <v>299</v>
      </c>
      <c r="C16" s="5" t="s">
        <v>108</v>
      </c>
      <c r="D16" s="5">
        <v>1</v>
      </c>
    </row>
    <row r="17" spans="1:4" ht="41.4">
      <c r="A17" s="5" t="s">
        <v>310</v>
      </c>
      <c r="B17" s="2" t="s">
        <v>312</v>
      </c>
      <c r="C17" s="5" t="s">
        <v>108</v>
      </c>
      <c r="D17" s="5">
        <v>1</v>
      </c>
    </row>
    <row r="18" spans="1:4" ht="41.4">
      <c r="A18" s="5" t="s">
        <v>329</v>
      </c>
      <c r="B18" s="2" t="s">
        <v>331</v>
      </c>
      <c r="C18" s="5" t="s">
        <v>108</v>
      </c>
      <c r="D18" s="5">
        <v>1</v>
      </c>
    </row>
    <row r="19" spans="1:4" ht="27.6">
      <c r="A19" s="5" t="s">
        <v>334</v>
      </c>
      <c r="B19" s="2" t="s">
        <v>336</v>
      </c>
      <c r="C19" s="5" t="s">
        <v>602</v>
      </c>
      <c r="D19" s="5">
        <v>1</v>
      </c>
    </row>
    <row r="20" spans="1:4" ht="27.6">
      <c r="A20" t="s">
        <v>603</v>
      </c>
      <c r="B20" s="6" t="s">
        <v>605</v>
      </c>
      <c r="C20" t="s">
        <v>108</v>
      </c>
      <c r="D20">
        <v>1</v>
      </c>
    </row>
    <row r="21" spans="1:4" ht="27.6">
      <c r="A21" s="5" t="s">
        <v>128</v>
      </c>
      <c r="B21" s="2" t="s">
        <v>131</v>
      </c>
      <c r="C21" s="5" t="s">
        <v>602</v>
      </c>
      <c r="D21" s="5">
        <v>2</v>
      </c>
    </row>
    <row r="22" spans="1:4" ht="27.6">
      <c r="A22" s="5" t="s">
        <v>147</v>
      </c>
      <c r="B22" s="2" t="s">
        <v>149</v>
      </c>
      <c r="C22" s="5" t="s">
        <v>602</v>
      </c>
      <c r="D22" s="5">
        <v>2</v>
      </c>
    </row>
    <row r="23" spans="1:4" ht="27.6">
      <c r="A23" s="5" t="s">
        <v>153</v>
      </c>
      <c r="B23" s="2" t="s">
        <v>155</v>
      </c>
      <c r="C23" s="5" t="s">
        <v>602</v>
      </c>
      <c r="D23" s="5">
        <v>2</v>
      </c>
    </row>
    <row r="24" spans="1:4" ht="41.4">
      <c r="A24" s="5" t="s">
        <v>50</v>
      </c>
      <c r="B24" s="2" t="s">
        <v>188</v>
      </c>
      <c r="C24" s="5" t="s">
        <v>602</v>
      </c>
      <c r="D24" s="5">
        <v>2</v>
      </c>
    </row>
    <row r="25" spans="1:4" ht="41.4">
      <c r="A25" s="5" t="s">
        <v>44</v>
      </c>
      <c r="B25" s="2" t="s">
        <v>193</v>
      </c>
      <c r="C25" s="5" t="s">
        <v>602</v>
      </c>
      <c r="D25" s="5">
        <v>2</v>
      </c>
    </row>
    <row r="26" spans="1:4" ht="27.6">
      <c r="A26" s="5" t="s">
        <v>199</v>
      </c>
      <c r="B26" s="2" t="s">
        <v>201</v>
      </c>
      <c r="C26" s="5" t="s">
        <v>602</v>
      </c>
      <c r="D26" s="5">
        <v>2</v>
      </c>
    </row>
    <row r="27" spans="1:4" ht="27.6">
      <c r="A27" s="5" t="s">
        <v>209</v>
      </c>
      <c r="B27" s="2" t="s">
        <v>211</v>
      </c>
      <c r="C27" s="5" t="s">
        <v>602</v>
      </c>
      <c r="D27" s="5">
        <v>2</v>
      </c>
    </row>
    <row r="28" spans="1:4" ht="27.6">
      <c r="A28" s="5" t="s">
        <v>215</v>
      </c>
      <c r="B28" s="2" t="s">
        <v>217</v>
      </c>
      <c r="C28" s="5" t="s">
        <v>602</v>
      </c>
      <c r="D28" s="5">
        <v>2</v>
      </c>
    </row>
    <row r="29" spans="1:4" ht="41.4">
      <c r="A29" s="5" t="s">
        <v>237</v>
      </c>
      <c r="B29" s="2" t="s">
        <v>239</v>
      </c>
      <c r="C29" s="5" t="s">
        <v>602</v>
      </c>
      <c r="D29" s="5">
        <v>2</v>
      </c>
    </row>
    <row r="30" spans="1:4" ht="27.6">
      <c r="A30" s="5" t="s">
        <v>243</v>
      </c>
      <c r="B30" s="2" t="s">
        <v>245</v>
      </c>
      <c r="C30" s="5" t="s">
        <v>602</v>
      </c>
      <c r="D30" s="5">
        <v>2</v>
      </c>
    </row>
    <row r="31" spans="1:4" ht="27.6">
      <c r="A31" s="5" t="s">
        <v>266</v>
      </c>
      <c r="B31" s="2" t="s">
        <v>268</v>
      </c>
      <c r="C31" s="5" t="s">
        <v>602</v>
      </c>
      <c r="D31" s="5">
        <v>2</v>
      </c>
    </row>
    <row r="32" spans="1:4" ht="27.6">
      <c r="A32" s="5" t="s">
        <v>272</v>
      </c>
      <c r="B32" s="2" t="s">
        <v>274</v>
      </c>
      <c r="C32" s="5" t="s">
        <v>602</v>
      </c>
      <c r="D32" s="5">
        <v>2</v>
      </c>
    </row>
    <row r="33" spans="1:4" ht="27.6">
      <c r="A33" s="5" t="s">
        <v>287</v>
      </c>
      <c r="B33" s="2" t="s">
        <v>289</v>
      </c>
      <c r="C33" s="5" t="s">
        <v>602</v>
      </c>
      <c r="D33" s="5">
        <v>2</v>
      </c>
    </row>
    <row r="34" spans="1:4" ht="41.4">
      <c r="A34" s="5" t="s">
        <v>319</v>
      </c>
      <c r="B34" s="2" t="s">
        <v>321</v>
      </c>
      <c r="C34" s="5" t="s">
        <v>602</v>
      </c>
      <c r="D34" s="5">
        <v>2</v>
      </c>
    </row>
    <row r="35" spans="1:4" ht="41.4">
      <c r="A35" s="5" t="s">
        <v>365</v>
      </c>
      <c r="B35" s="2" t="s">
        <v>367</v>
      </c>
      <c r="C35" s="5" t="s">
        <v>602</v>
      </c>
      <c r="D35" s="5">
        <v>2</v>
      </c>
    </row>
    <row r="36" spans="1:4" ht="27.6">
      <c r="A36" s="5" t="s">
        <v>369</v>
      </c>
      <c r="B36" s="2" t="s">
        <v>371</v>
      </c>
      <c r="C36" s="5" t="s">
        <v>602</v>
      </c>
      <c r="D36" s="5">
        <v>2</v>
      </c>
    </row>
    <row r="37" spans="1:4" ht="27.6">
      <c r="A37" s="5" t="s">
        <v>380</v>
      </c>
      <c r="B37" s="2" t="s">
        <v>382</v>
      </c>
      <c r="C37" s="5" t="s">
        <v>602</v>
      </c>
      <c r="D37" s="5">
        <v>2</v>
      </c>
    </row>
    <row r="38" spans="1:4" ht="27.6">
      <c r="A38" s="5" t="s">
        <v>401</v>
      </c>
      <c r="B38" s="2" t="s">
        <v>403</v>
      </c>
      <c r="C38" s="5" t="s">
        <v>602</v>
      </c>
      <c r="D38" s="5">
        <v>2</v>
      </c>
    </row>
    <row r="39" spans="1:4" ht="27.6">
      <c r="A39" s="5" t="s">
        <v>407</v>
      </c>
      <c r="B39" s="2" t="s">
        <v>409</v>
      </c>
      <c r="C39" s="5" t="s">
        <v>602</v>
      </c>
      <c r="D39" s="5">
        <v>2</v>
      </c>
    </row>
    <row r="40" spans="1:4" ht="27.6">
      <c r="A40" s="5" t="s">
        <v>164</v>
      </c>
      <c r="B40" s="2" t="s">
        <v>166</v>
      </c>
      <c r="C40" s="5" t="s">
        <v>130</v>
      </c>
      <c r="D40" s="5">
        <v>3</v>
      </c>
    </row>
    <row r="41" spans="1:4" ht="27.6">
      <c r="A41" s="5" t="s">
        <v>222</v>
      </c>
      <c r="B41" s="2" t="s">
        <v>224</v>
      </c>
      <c r="C41" s="5" t="s">
        <v>130</v>
      </c>
      <c r="D41" s="5">
        <v>3</v>
      </c>
    </row>
    <row r="42" spans="1:4" ht="27.6">
      <c r="A42" s="5" t="s">
        <v>56</v>
      </c>
      <c r="B42" s="2" t="s">
        <v>229</v>
      </c>
      <c r="C42" s="5" t="s">
        <v>130</v>
      </c>
      <c r="D42" s="5">
        <v>3</v>
      </c>
    </row>
    <row r="43" spans="1:4" ht="27.6">
      <c r="A43" s="5" t="s">
        <v>250</v>
      </c>
      <c r="B43" s="2" t="s">
        <v>252</v>
      </c>
      <c r="C43" s="5" t="s">
        <v>130</v>
      </c>
      <c r="D43" s="5">
        <v>3</v>
      </c>
    </row>
    <row r="44" spans="1:4" ht="41.4">
      <c r="A44" s="5" t="s">
        <v>262</v>
      </c>
      <c r="B44" s="2" t="s">
        <v>264</v>
      </c>
      <c r="C44" s="5" t="s">
        <v>130</v>
      </c>
      <c r="D44" s="5">
        <v>3</v>
      </c>
    </row>
    <row r="45" spans="1:4" ht="27.6">
      <c r="A45" s="5" t="s">
        <v>279</v>
      </c>
      <c r="B45" s="2" t="s">
        <v>281</v>
      </c>
      <c r="C45" s="5" t="s">
        <v>130</v>
      </c>
      <c r="D45" s="5">
        <v>3</v>
      </c>
    </row>
    <row r="46" spans="1:4" ht="27.6">
      <c r="A46" s="5" t="s">
        <v>59</v>
      </c>
      <c r="B46" s="2" t="s">
        <v>285</v>
      </c>
      <c r="C46" s="5" t="s">
        <v>130</v>
      </c>
      <c r="D46" s="5">
        <v>3</v>
      </c>
    </row>
    <row r="47" spans="1:4" ht="27.6">
      <c r="A47" s="5" t="s">
        <v>293</v>
      </c>
      <c r="B47" s="2" t="s">
        <v>295</v>
      </c>
      <c r="C47" s="5" t="s">
        <v>130</v>
      </c>
      <c r="D47" s="5">
        <v>3</v>
      </c>
    </row>
    <row r="48" spans="1:4" ht="27.6">
      <c r="A48" s="5" t="s">
        <v>62</v>
      </c>
      <c r="B48" s="2" t="s">
        <v>302</v>
      </c>
      <c r="C48" s="5" t="s">
        <v>602</v>
      </c>
      <c r="D48" s="5">
        <v>3</v>
      </c>
    </row>
    <row r="49" spans="1:4" ht="27.6">
      <c r="A49" s="5" t="s">
        <v>304</v>
      </c>
      <c r="B49" s="2" t="s">
        <v>306</v>
      </c>
      <c r="C49" s="5" t="s">
        <v>130</v>
      </c>
      <c r="D49" s="5">
        <v>3</v>
      </c>
    </row>
    <row r="50" spans="1:4" ht="27.6">
      <c r="A50" s="5" t="s">
        <v>315</v>
      </c>
      <c r="B50" s="2" t="s">
        <v>317</v>
      </c>
      <c r="C50" s="5" t="s">
        <v>130</v>
      </c>
      <c r="D50" s="5">
        <v>3</v>
      </c>
    </row>
    <row r="51" spans="1:4" ht="41.4">
      <c r="A51" s="5" t="s">
        <v>325</v>
      </c>
      <c r="B51" s="2" t="s">
        <v>327</v>
      </c>
      <c r="C51" s="5" t="s">
        <v>130</v>
      </c>
      <c r="D51" s="5">
        <v>3</v>
      </c>
    </row>
    <row r="52" spans="1:4" ht="27.6">
      <c r="A52" s="5" t="s">
        <v>339</v>
      </c>
      <c r="B52" s="2" t="s">
        <v>341</v>
      </c>
      <c r="C52" s="5" t="s">
        <v>602</v>
      </c>
      <c r="D52" s="5">
        <v>3</v>
      </c>
    </row>
    <row r="53" spans="1:4" ht="41.4">
      <c r="A53" s="5" t="s">
        <v>344</v>
      </c>
      <c r="B53" s="2" t="s">
        <v>346</v>
      </c>
      <c r="C53" s="5" t="s">
        <v>130</v>
      </c>
      <c r="D53" s="5">
        <v>3</v>
      </c>
    </row>
    <row r="54" spans="1:4" ht="41.4">
      <c r="A54" s="5" t="s">
        <v>349</v>
      </c>
      <c r="B54" s="2" t="s">
        <v>351</v>
      </c>
      <c r="C54" s="5" t="s">
        <v>602</v>
      </c>
      <c r="D54" s="5">
        <v>3</v>
      </c>
    </row>
    <row r="55" spans="1:4" ht="41.4">
      <c r="A55" s="5" t="s">
        <v>355</v>
      </c>
      <c r="B55" s="2" t="s">
        <v>357</v>
      </c>
      <c r="C55" s="5" t="s">
        <v>130</v>
      </c>
      <c r="D55" s="5">
        <v>3</v>
      </c>
    </row>
    <row r="56" spans="1:4" ht="41.4">
      <c r="A56" s="5" t="s">
        <v>359</v>
      </c>
      <c r="B56" s="2" t="s">
        <v>361</v>
      </c>
      <c r="C56" s="5" t="s">
        <v>602</v>
      </c>
      <c r="D56" s="5">
        <v>3</v>
      </c>
    </row>
    <row r="57" spans="1:4" ht="41.4">
      <c r="A57" s="5" t="s">
        <v>374</v>
      </c>
      <c r="B57" s="2" t="s">
        <v>376</v>
      </c>
      <c r="C57" s="5" t="s">
        <v>602</v>
      </c>
      <c r="D57" s="5">
        <v>3</v>
      </c>
    </row>
    <row r="58" spans="1:4" ht="27.6">
      <c r="A58" s="5" t="s">
        <v>385</v>
      </c>
      <c r="B58" s="2" t="s">
        <v>387</v>
      </c>
      <c r="C58" s="5" t="s">
        <v>130</v>
      </c>
      <c r="D58" s="5">
        <v>3</v>
      </c>
    </row>
    <row r="59" spans="1:4" ht="41.4">
      <c r="A59" s="5" t="s">
        <v>390</v>
      </c>
      <c r="B59" s="2" t="s">
        <v>392</v>
      </c>
      <c r="C59" s="5" t="s">
        <v>130</v>
      </c>
      <c r="D59" s="5">
        <v>3</v>
      </c>
    </row>
    <row r="60" spans="1:4" ht="27.6">
      <c r="A60" s="5" t="s">
        <v>395</v>
      </c>
      <c r="B60" s="2" t="s">
        <v>397</v>
      </c>
      <c r="C60" s="5" t="s">
        <v>602</v>
      </c>
      <c r="D60" s="5">
        <v>3</v>
      </c>
    </row>
  </sheetData>
  <mergeCells count="1">
    <mergeCell ref="A1:D1"/>
  </mergeCells>
  <conditionalFormatting sqref="C3:C60">
    <cfRule type="expression" dxfId="11" priority="1">
      <formula>C3="Alta"</formula>
    </cfRule>
    <cfRule type="expression" dxfId="10" priority="2">
      <formula>C3="Média"</formula>
    </cfRule>
    <cfRule type="expression" dxfId="9" priority="3">
      <formula>C3="Baixa"</formula>
    </cfRule>
  </conditionalFormatting>
  <conditionalFormatting sqref="D3:D60">
    <cfRule type="expression" dxfId="8" priority="4">
      <formula>D3=1</formula>
    </cfRule>
    <cfRule type="expression" dxfId="7" priority="5">
      <formula>D3=2</formula>
    </cfRule>
    <cfRule type="expression" dxfId="6" priority="6">
      <formula>D3=3</formula>
    </cfRule>
  </conditionalFormatting>
  <dataValidations count="2">
    <dataValidation type="list" sqref="D3:D60" xr:uid="{7BF657BF-BD98-4CED-B64E-6BA18CB5AE0D}">
      <formula1>"1,2,3"</formula1>
    </dataValidation>
    <dataValidation type="list" sqref="C3:C60" xr:uid="{9DCDE64B-91F5-4B16-8764-9AD3815C75A3}">
      <formula1>"Alta,Média,Baixa"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"/>
  <sheetViews>
    <sheetView topLeftCell="A33" zoomScale="55" zoomScaleNormal="55" workbookViewId="0">
      <selection activeCell="E62" sqref="E62"/>
    </sheetView>
  </sheetViews>
  <sheetFormatPr defaultRowHeight="13.8"/>
  <cols>
    <col min="1" max="2" width="9" customWidth="1"/>
    <col min="3" max="3" width="35" customWidth="1"/>
    <col min="4" max="4" width="11" customWidth="1"/>
    <col min="5" max="5" width="66" customWidth="1"/>
    <col min="6" max="6" width="18" customWidth="1"/>
    <col min="7" max="7" width="25" customWidth="1"/>
    <col min="8" max="8" width="30" customWidth="1"/>
    <col min="9" max="9" width="22" customWidth="1"/>
    <col min="10" max="10" width="62" customWidth="1"/>
    <col min="11" max="11" width="24" customWidth="1"/>
  </cols>
  <sheetData>
    <row r="1" spans="1:11" ht="22.35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.15" customHeight="1">
      <c r="A2" s="9" t="s">
        <v>95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24" customHeight="1">
      <c r="A4" s="1" t="s">
        <v>96</v>
      </c>
      <c r="B4" s="1" t="s">
        <v>4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</row>
    <row r="5" spans="1:11" ht="41.4">
      <c r="A5" s="2" t="s">
        <v>106</v>
      </c>
      <c r="B5" s="2" t="s">
        <v>70</v>
      </c>
      <c r="C5" s="2" t="s">
        <v>107</v>
      </c>
      <c r="D5" s="2" t="s">
        <v>108</v>
      </c>
      <c r="E5" s="2" t="s">
        <v>109</v>
      </c>
      <c r="F5" s="2" t="s">
        <v>110</v>
      </c>
      <c r="G5" s="2" t="s">
        <v>111</v>
      </c>
      <c r="H5" s="2" t="s">
        <v>112</v>
      </c>
      <c r="I5" s="2" t="s">
        <v>113</v>
      </c>
      <c r="J5" s="2" t="s">
        <v>114</v>
      </c>
      <c r="K5" s="2" t="s">
        <v>106</v>
      </c>
    </row>
    <row r="6" spans="1:11" ht="41.4">
      <c r="A6" s="2" t="s">
        <v>115</v>
      </c>
      <c r="B6" s="2" t="s">
        <v>70</v>
      </c>
      <c r="C6" s="2" t="s">
        <v>116</v>
      </c>
      <c r="D6" s="2" t="s">
        <v>117</v>
      </c>
      <c r="E6" s="2" t="s">
        <v>118</v>
      </c>
      <c r="F6" s="2" t="s">
        <v>119</v>
      </c>
      <c r="G6" s="2" t="s">
        <v>106</v>
      </c>
      <c r="H6" s="2" t="s">
        <v>120</v>
      </c>
      <c r="I6" s="2" t="s">
        <v>121</v>
      </c>
      <c r="J6" s="2" t="s">
        <v>122</v>
      </c>
      <c r="K6" s="2" t="s">
        <v>115</v>
      </c>
    </row>
    <row r="7" spans="1:11" ht="27.6">
      <c r="A7" s="2" t="s">
        <v>123</v>
      </c>
      <c r="B7" s="2" t="s">
        <v>70</v>
      </c>
      <c r="C7" s="2" t="s">
        <v>124</v>
      </c>
      <c r="D7" s="2" t="s">
        <v>108</v>
      </c>
      <c r="E7" s="2" t="s">
        <v>125</v>
      </c>
      <c r="F7" s="2" t="s">
        <v>126</v>
      </c>
      <c r="G7" s="2" t="s">
        <v>127</v>
      </c>
      <c r="H7" s="2" t="s">
        <v>120</v>
      </c>
      <c r="I7" s="2" t="s">
        <v>121</v>
      </c>
      <c r="J7" s="2" t="s">
        <v>122</v>
      </c>
      <c r="K7" s="2" t="s">
        <v>123</v>
      </c>
    </row>
    <row r="8" spans="1:11" ht="27.6">
      <c r="A8" s="2" t="s">
        <v>128</v>
      </c>
      <c r="B8" s="2" t="s">
        <v>70</v>
      </c>
      <c r="C8" s="2" t="s">
        <v>129</v>
      </c>
      <c r="D8" s="2" t="s">
        <v>130</v>
      </c>
      <c r="E8" s="2" t="s">
        <v>131</v>
      </c>
      <c r="F8" s="2" t="s">
        <v>132</v>
      </c>
      <c r="G8" s="2" t="s">
        <v>106</v>
      </c>
      <c r="H8" s="2" t="s">
        <v>133</v>
      </c>
      <c r="I8" s="2" t="s">
        <v>113</v>
      </c>
      <c r="J8" s="2" t="s">
        <v>134</v>
      </c>
      <c r="K8" s="2" t="s">
        <v>128</v>
      </c>
    </row>
    <row r="9" spans="1:11" ht="27.6">
      <c r="A9" s="2" t="s">
        <v>135</v>
      </c>
      <c r="B9" s="2" t="s">
        <v>70</v>
      </c>
      <c r="C9" s="2" t="s">
        <v>136</v>
      </c>
      <c r="D9" s="2" t="s">
        <v>108</v>
      </c>
      <c r="E9" s="2" t="s">
        <v>137</v>
      </c>
      <c r="F9" s="2" t="s">
        <v>138</v>
      </c>
      <c r="G9" s="2" t="s">
        <v>111</v>
      </c>
      <c r="H9" s="2" t="s">
        <v>139</v>
      </c>
      <c r="I9" s="2" t="s">
        <v>121</v>
      </c>
      <c r="J9" s="2" t="s">
        <v>122</v>
      </c>
      <c r="K9" s="2" t="s">
        <v>135</v>
      </c>
    </row>
    <row r="10" spans="1:11" ht="41.4">
      <c r="A10" s="2" t="s">
        <v>140</v>
      </c>
      <c r="B10" s="2" t="s">
        <v>73</v>
      </c>
      <c r="C10" s="2" t="s">
        <v>141</v>
      </c>
      <c r="D10" s="2" t="s">
        <v>108</v>
      </c>
      <c r="E10" s="2" t="s">
        <v>142</v>
      </c>
      <c r="F10" s="2" t="s">
        <v>143</v>
      </c>
      <c r="G10" s="2" t="s">
        <v>144</v>
      </c>
      <c r="H10" s="2" t="s">
        <v>145</v>
      </c>
      <c r="I10" s="2" t="s">
        <v>121</v>
      </c>
      <c r="J10" s="2" t="s">
        <v>122</v>
      </c>
      <c r="K10" s="2" t="s">
        <v>146</v>
      </c>
    </row>
    <row r="11" spans="1:11" ht="41.4">
      <c r="A11" s="2" t="s">
        <v>147</v>
      </c>
      <c r="B11" s="2" t="s">
        <v>73</v>
      </c>
      <c r="C11" s="2" t="s">
        <v>148</v>
      </c>
      <c r="D11" s="2" t="s">
        <v>117</v>
      </c>
      <c r="E11" s="2" t="s">
        <v>149</v>
      </c>
      <c r="F11" s="2" t="s">
        <v>150</v>
      </c>
      <c r="G11" s="2" t="s">
        <v>140</v>
      </c>
      <c r="H11" s="2" t="s">
        <v>151</v>
      </c>
      <c r="I11" s="2" t="s">
        <v>121</v>
      </c>
      <c r="J11" s="2" t="s">
        <v>122</v>
      </c>
      <c r="K11" s="2" t="s">
        <v>152</v>
      </c>
    </row>
    <row r="12" spans="1:11" ht="41.4">
      <c r="A12" s="2" t="s">
        <v>153</v>
      </c>
      <c r="B12" s="2" t="s">
        <v>73</v>
      </c>
      <c r="C12" s="2" t="s">
        <v>154</v>
      </c>
      <c r="D12" s="2" t="s">
        <v>130</v>
      </c>
      <c r="E12" s="2" t="s">
        <v>155</v>
      </c>
      <c r="F12" s="2" t="s">
        <v>156</v>
      </c>
      <c r="G12" s="2" t="s">
        <v>144</v>
      </c>
      <c r="H12" s="2" t="s">
        <v>157</v>
      </c>
      <c r="I12" s="2" t="s">
        <v>113</v>
      </c>
      <c r="J12" s="2" t="s">
        <v>158</v>
      </c>
      <c r="K12" s="2" t="s">
        <v>153</v>
      </c>
    </row>
    <row r="13" spans="1:11" ht="41.4">
      <c r="A13" s="2" t="s">
        <v>41</v>
      </c>
      <c r="B13" s="2" t="s">
        <v>76</v>
      </c>
      <c r="C13" s="2" t="s">
        <v>159</v>
      </c>
      <c r="D13" s="2" t="s">
        <v>117</v>
      </c>
      <c r="E13" s="2" t="s">
        <v>160</v>
      </c>
      <c r="F13" s="2" t="s">
        <v>161</v>
      </c>
      <c r="G13" s="2" t="s">
        <v>111</v>
      </c>
      <c r="H13" s="2" t="s">
        <v>162</v>
      </c>
      <c r="I13" s="2" t="s">
        <v>113</v>
      </c>
      <c r="J13" s="2" t="s">
        <v>163</v>
      </c>
      <c r="K13" s="2" t="s">
        <v>41</v>
      </c>
    </row>
    <row r="14" spans="1:11" ht="27.6">
      <c r="A14" s="2" t="s">
        <v>164</v>
      </c>
      <c r="B14" s="2" t="s">
        <v>76</v>
      </c>
      <c r="C14" s="2" t="s">
        <v>165</v>
      </c>
      <c r="D14" s="2" t="s">
        <v>130</v>
      </c>
      <c r="E14" s="2" t="s">
        <v>166</v>
      </c>
      <c r="F14" s="2" t="s">
        <v>167</v>
      </c>
      <c r="G14" s="2" t="s">
        <v>41</v>
      </c>
      <c r="H14" s="2" t="s">
        <v>120</v>
      </c>
      <c r="I14" s="2" t="s">
        <v>121</v>
      </c>
      <c r="J14" s="2" t="s">
        <v>122</v>
      </c>
      <c r="K14" s="2" t="s">
        <v>164</v>
      </c>
    </row>
    <row r="15" spans="1:11" ht="41.4">
      <c r="A15" s="2" t="s">
        <v>168</v>
      </c>
      <c r="B15" s="2" t="s">
        <v>76</v>
      </c>
      <c r="C15" s="2" t="s">
        <v>169</v>
      </c>
      <c r="D15" s="2" t="s">
        <v>130</v>
      </c>
      <c r="E15" s="2" t="s">
        <v>170</v>
      </c>
      <c r="F15" s="2" t="s">
        <v>171</v>
      </c>
      <c r="G15" s="2" t="s">
        <v>127</v>
      </c>
      <c r="H15" s="2" t="s">
        <v>172</v>
      </c>
      <c r="I15" s="2" t="s">
        <v>113</v>
      </c>
      <c r="J15" s="2" t="s">
        <v>173</v>
      </c>
      <c r="K15" s="2" t="s">
        <v>168</v>
      </c>
    </row>
    <row r="16" spans="1:11" ht="27.6">
      <c r="A16" s="2" t="s">
        <v>174</v>
      </c>
      <c r="B16" s="2" t="s">
        <v>79</v>
      </c>
      <c r="C16" s="2" t="s">
        <v>175</v>
      </c>
      <c r="D16" s="2" t="s">
        <v>108</v>
      </c>
      <c r="E16" s="2" t="s">
        <v>176</v>
      </c>
      <c r="F16" s="2" t="s">
        <v>177</v>
      </c>
      <c r="G16" s="2" t="s">
        <v>144</v>
      </c>
      <c r="H16" s="2" t="s">
        <v>120</v>
      </c>
      <c r="I16" s="2" t="s">
        <v>121</v>
      </c>
      <c r="J16" s="2" t="s">
        <v>122</v>
      </c>
      <c r="K16" s="2" t="s">
        <v>174</v>
      </c>
    </row>
    <row r="17" spans="1:11" ht="41.4">
      <c r="A17" s="2" t="s">
        <v>47</v>
      </c>
      <c r="B17" s="2" t="s">
        <v>79</v>
      </c>
      <c r="C17" s="2" t="s">
        <v>178</v>
      </c>
      <c r="D17" s="2" t="s">
        <v>117</v>
      </c>
      <c r="E17" s="2" t="s">
        <v>179</v>
      </c>
      <c r="F17" s="2" t="s">
        <v>180</v>
      </c>
      <c r="G17" s="2" t="s">
        <v>106</v>
      </c>
      <c r="H17" s="2" t="s">
        <v>120</v>
      </c>
      <c r="I17" s="2" t="s">
        <v>121</v>
      </c>
      <c r="J17" s="2" t="s">
        <v>122</v>
      </c>
      <c r="K17" s="2" t="s">
        <v>47</v>
      </c>
    </row>
    <row r="18" spans="1:11" ht="41.4">
      <c r="A18" s="2" t="s">
        <v>181</v>
      </c>
      <c r="B18" s="2" t="s">
        <v>79</v>
      </c>
      <c r="C18" s="2" t="s">
        <v>182</v>
      </c>
      <c r="D18" s="2" t="s">
        <v>108</v>
      </c>
      <c r="E18" s="2" t="s">
        <v>183</v>
      </c>
      <c r="F18" s="2" t="s">
        <v>184</v>
      </c>
      <c r="G18" s="2" t="s">
        <v>185</v>
      </c>
      <c r="H18" s="2" t="s">
        <v>186</v>
      </c>
      <c r="I18" s="2" t="s">
        <v>121</v>
      </c>
      <c r="J18" s="2" t="s">
        <v>122</v>
      </c>
      <c r="K18" s="2" t="s">
        <v>181</v>
      </c>
    </row>
    <row r="19" spans="1:11" ht="41.4">
      <c r="A19" s="2" t="s">
        <v>50</v>
      </c>
      <c r="B19" s="2" t="s">
        <v>85</v>
      </c>
      <c r="C19" s="2" t="s">
        <v>187</v>
      </c>
      <c r="D19" s="2" t="s">
        <v>130</v>
      </c>
      <c r="E19" s="2" t="s">
        <v>188</v>
      </c>
      <c r="F19" s="2" t="s">
        <v>189</v>
      </c>
      <c r="G19" s="2" t="s">
        <v>106</v>
      </c>
      <c r="H19" s="2" t="s">
        <v>190</v>
      </c>
      <c r="I19" s="2" t="s">
        <v>121</v>
      </c>
      <c r="J19" s="2" t="s">
        <v>191</v>
      </c>
      <c r="K19" s="2" t="s">
        <v>50</v>
      </c>
    </row>
    <row r="20" spans="1:11" ht="41.4">
      <c r="A20" s="2" t="s">
        <v>44</v>
      </c>
      <c r="B20" s="2" t="s">
        <v>76</v>
      </c>
      <c r="C20" s="2" t="s">
        <v>192</v>
      </c>
      <c r="D20" s="2" t="s">
        <v>130</v>
      </c>
      <c r="E20" s="2" t="s">
        <v>193</v>
      </c>
      <c r="F20" s="2" t="s">
        <v>194</v>
      </c>
      <c r="G20" s="2" t="s">
        <v>195</v>
      </c>
      <c r="H20" s="2" t="s">
        <v>196</v>
      </c>
      <c r="I20" s="2" t="s">
        <v>197</v>
      </c>
      <c r="J20" s="2" t="s">
        <v>198</v>
      </c>
      <c r="K20" s="2" t="s">
        <v>44</v>
      </c>
    </row>
    <row r="21" spans="1:11" ht="55.2">
      <c r="A21" s="2" t="s">
        <v>199</v>
      </c>
      <c r="B21" s="2" t="s">
        <v>88</v>
      </c>
      <c r="C21" s="2" t="s">
        <v>200</v>
      </c>
      <c r="D21" s="2" t="s">
        <v>117</v>
      </c>
      <c r="E21" s="2" t="s">
        <v>201</v>
      </c>
      <c r="F21" s="2" t="s">
        <v>202</v>
      </c>
      <c r="G21" s="2" t="s">
        <v>111</v>
      </c>
      <c r="H21" s="2" t="s">
        <v>203</v>
      </c>
      <c r="I21" s="2" t="s">
        <v>204</v>
      </c>
      <c r="J21" s="2" t="s">
        <v>205</v>
      </c>
      <c r="K21" s="2" t="s">
        <v>199</v>
      </c>
    </row>
    <row r="22" spans="1:11" ht="41.4">
      <c r="A22" s="2" t="s">
        <v>53</v>
      </c>
      <c r="B22" s="2" t="s">
        <v>85</v>
      </c>
      <c r="C22" s="2" t="s">
        <v>206</v>
      </c>
      <c r="D22" s="2" t="s">
        <v>117</v>
      </c>
      <c r="E22" s="2" t="s">
        <v>207</v>
      </c>
      <c r="F22" s="2" t="s">
        <v>208</v>
      </c>
      <c r="G22" s="2" t="s">
        <v>106</v>
      </c>
      <c r="H22" s="2" t="s">
        <v>120</v>
      </c>
      <c r="I22" s="2" t="s">
        <v>121</v>
      </c>
      <c r="J22" s="2" t="s">
        <v>122</v>
      </c>
      <c r="K22" s="2" t="s">
        <v>53</v>
      </c>
    </row>
    <row r="23" spans="1:11" ht="27.6">
      <c r="A23" s="2" t="s">
        <v>209</v>
      </c>
      <c r="B23" s="2" t="s">
        <v>85</v>
      </c>
      <c r="C23" s="2" t="s">
        <v>210</v>
      </c>
      <c r="D23" s="2" t="s">
        <v>117</v>
      </c>
      <c r="E23" s="2" t="s">
        <v>211</v>
      </c>
      <c r="F23" s="2" t="s">
        <v>212</v>
      </c>
      <c r="G23" s="2" t="s">
        <v>144</v>
      </c>
      <c r="H23" s="2" t="s">
        <v>213</v>
      </c>
      <c r="I23" s="2" t="s">
        <v>113</v>
      </c>
      <c r="J23" s="2" t="s">
        <v>214</v>
      </c>
      <c r="K23" s="2" t="s">
        <v>209</v>
      </c>
    </row>
    <row r="24" spans="1:11" ht="55.2">
      <c r="A24" s="2" t="s">
        <v>215</v>
      </c>
      <c r="B24" s="2" t="s">
        <v>88</v>
      </c>
      <c r="C24" s="2" t="s">
        <v>216</v>
      </c>
      <c r="D24" s="2" t="s">
        <v>117</v>
      </c>
      <c r="E24" s="2" t="s">
        <v>217</v>
      </c>
      <c r="F24" s="2" t="s">
        <v>218</v>
      </c>
      <c r="G24" s="2" t="s">
        <v>219</v>
      </c>
      <c r="H24" s="2" t="s">
        <v>220</v>
      </c>
      <c r="I24" s="2" t="s">
        <v>204</v>
      </c>
      <c r="J24" s="2" t="s">
        <v>221</v>
      </c>
      <c r="K24" s="2" t="s">
        <v>215</v>
      </c>
    </row>
    <row r="25" spans="1:11" ht="27.6">
      <c r="A25" s="2" t="s">
        <v>222</v>
      </c>
      <c r="B25" s="2" t="s">
        <v>70</v>
      </c>
      <c r="C25" s="2" t="s">
        <v>223</v>
      </c>
      <c r="D25" s="2" t="s">
        <v>130</v>
      </c>
      <c r="E25" s="2" t="s">
        <v>224</v>
      </c>
      <c r="F25" s="2" t="s">
        <v>225</v>
      </c>
      <c r="G25" s="2" t="s">
        <v>219</v>
      </c>
      <c r="H25" s="2" t="s">
        <v>226</v>
      </c>
      <c r="I25" s="2" t="s">
        <v>204</v>
      </c>
      <c r="J25" s="2" t="s">
        <v>227</v>
      </c>
      <c r="K25" s="2" t="s">
        <v>222</v>
      </c>
    </row>
    <row r="26" spans="1:11" ht="41.4">
      <c r="A26" s="2" t="s">
        <v>56</v>
      </c>
      <c r="B26" s="2" t="s">
        <v>91</v>
      </c>
      <c r="C26" s="2" t="s">
        <v>228</v>
      </c>
      <c r="D26" s="2" t="s">
        <v>130</v>
      </c>
      <c r="E26" s="2" t="s">
        <v>229</v>
      </c>
      <c r="F26" s="2" t="s">
        <v>230</v>
      </c>
      <c r="G26" s="2" t="s">
        <v>111</v>
      </c>
      <c r="H26" s="2" t="s">
        <v>120</v>
      </c>
      <c r="I26" s="2" t="s">
        <v>121</v>
      </c>
      <c r="J26" s="2" t="s">
        <v>122</v>
      </c>
      <c r="K26" s="2" t="s">
        <v>56</v>
      </c>
    </row>
    <row r="27" spans="1:11" ht="41.4">
      <c r="A27" s="2" t="s">
        <v>231</v>
      </c>
      <c r="B27" s="2" t="s">
        <v>85</v>
      </c>
      <c r="C27" s="2" t="s">
        <v>232</v>
      </c>
      <c r="D27" s="2" t="s">
        <v>117</v>
      </c>
      <c r="E27" s="2" t="s">
        <v>233</v>
      </c>
      <c r="F27" s="2" t="s">
        <v>234</v>
      </c>
      <c r="G27" s="2" t="s">
        <v>106</v>
      </c>
      <c r="H27" s="2" t="s">
        <v>235</v>
      </c>
      <c r="I27" s="2" t="s">
        <v>204</v>
      </c>
      <c r="J27" s="2" t="s">
        <v>236</v>
      </c>
      <c r="K27" s="2" t="s">
        <v>231</v>
      </c>
    </row>
    <row r="28" spans="1:11" ht="55.2">
      <c r="A28" s="2" t="s">
        <v>237</v>
      </c>
      <c r="B28" s="2" t="s">
        <v>79</v>
      </c>
      <c r="C28" s="2" t="s">
        <v>238</v>
      </c>
      <c r="D28" s="2" t="s">
        <v>117</v>
      </c>
      <c r="E28" s="2" t="s">
        <v>239</v>
      </c>
      <c r="F28" s="2" t="s">
        <v>240</v>
      </c>
      <c r="G28" s="2" t="s">
        <v>106</v>
      </c>
      <c r="H28" s="2" t="s">
        <v>241</v>
      </c>
      <c r="I28" s="2" t="s">
        <v>204</v>
      </c>
      <c r="J28" s="2" t="s">
        <v>242</v>
      </c>
      <c r="K28" s="2" t="s">
        <v>237</v>
      </c>
    </row>
    <row r="29" spans="1:11" ht="41.4">
      <c r="A29" s="2" t="s">
        <v>243</v>
      </c>
      <c r="B29" s="2" t="s">
        <v>82</v>
      </c>
      <c r="C29" s="2" t="s">
        <v>244</v>
      </c>
      <c r="D29" s="2" t="s">
        <v>117</v>
      </c>
      <c r="E29" s="2" t="s">
        <v>245</v>
      </c>
      <c r="F29" s="2" t="s">
        <v>246</v>
      </c>
      <c r="G29" s="2" t="s">
        <v>140</v>
      </c>
      <c r="H29" s="2" t="s">
        <v>247</v>
      </c>
      <c r="I29" s="2" t="s">
        <v>113</v>
      </c>
      <c r="J29" s="2" t="s">
        <v>248</v>
      </c>
      <c r="K29" s="2" t="s">
        <v>249</v>
      </c>
    </row>
    <row r="30" spans="1:11" ht="27.6">
      <c r="A30" s="2" t="s">
        <v>250</v>
      </c>
      <c r="B30" s="2" t="s">
        <v>82</v>
      </c>
      <c r="C30" s="2" t="s">
        <v>251</v>
      </c>
      <c r="D30" s="2" t="s">
        <v>130</v>
      </c>
      <c r="E30" s="2" t="s">
        <v>252</v>
      </c>
      <c r="F30" s="2" t="s">
        <v>253</v>
      </c>
      <c r="G30" s="2" t="s">
        <v>111</v>
      </c>
      <c r="H30" s="2" t="s">
        <v>254</v>
      </c>
      <c r="I30" s="2" t="s">
        <v>204</v>
      </c>
      <c r="J30" s="2" t="s">
        <v>255</v>
      </c>
      <c r="K30" s="2" t="s">
        <v>250</v>
      </c>
    </row>
    <row r="31" spans="1:11" ht="41.4">
      <c r="A31" s="2" t="s">
        <v>256</v>
      </c>
      <c r="B31" s="2" t="s">
        <v>73</v>
      </c>
      <c r="C31" s="2" t="s">
        <v>257</v>
      </c>
      <c r="D31" s="2" t="s">
        <v>117</v>
      </c>
      <c r="E31" s="2" t="s">
        <v>258</v>
      </c>
      <c r="F31" s="2" t="s">
        <v>259</v>
      </c>
      <c r="G31" s="2" t="s">
        <v>144</v>
      </c>
      <c r="H31" s="2" t="s">
        <v>260</v>
      </c>
      <c r="I31" s="2" t="s">
        <v>204</v>
      </c>
      <c r="J31" s="2" t="s">
        <v>261</v>
      </c>
      <c r="K31" s="2" t="s">
        <v>256</v>
      </c>
    </row>
    <row r="32" spans="1:11" ht="27.6">
      <c r="A32" s="2" t="s">
        <v>262</v>
      </c>
      <c r="B32" s="2" t="s">
        <v>88</v>
      </c>
      <c r="C32" s="2" t="s">
        <v>263</v>
      </c>
      <c r="D32" s="2" t="s">
        <v>130</v>
      </c>
      <c r="E32" s="2" t="s">
        <v>264</v>
      </c>
      <c r="F32" s="2" t="s">
        <v>265</v>
      </c>
      <c r="G32" s="2" t="s">
        <v>111</v>
      </c>
      <c r="H32" s="2" t="s">
        <v>120</v>
      </c>
      <c r="I32" s="2" t="s">
        <v>121</v>
      </c>
      <c r="J32" s="2" t="s">
        <v>122</v>
      </c>
      <c r="K32" s="2" t="s">
        <v>262</v>
      </c>
    </row>
    <row r="33" spans="1:11" ht="27.6">
      <c r="A33" s="2" t="s">
        <v>266</v>
      </c>
      <c r="B33" s="2" t="s">
        <v>82</v>
      </c>
      <c r="C33" s="2" t="s">
        <v>267</v>
      </c>
      <c r="D33" s="2" t="s">
        <v>117</v>
      </c>
      <c r="E33" s="2" t="s">
        <v>268</v>
      </c>
      <c r="F33" s="2" t="s">
        <v>269</v>
      </c>
      <c r="G33" s="2" t="s">
        <v>111</v>
      </c>
      <c r="H33" s="2" t="s">
        <v>270</v>
      </c>
      <c r="I33" s="2" t="s">
        <v>121</v>
      </c>
      <c r="J33" s="2" t="s">
        <v>122</v>
      </c>
      <c r="K33" s="2" t="s">
        <v>271</v>
      </c>
    </row>
    <row r="34" spans="1:11" ht="27.6">
      <c r="A34" s="2" t="s">
        <v>272</v>
      </c>
      <c r="B34" s="2" t="s">
        <v>79</v>
      </c>
      <c r="C34" s="2" t="s">
        <v>273</v>
      </c>
      <c r="D34" s="2" t="s">
        <v>117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121</v>
      </c>
      <c r="J34" s="2" t="s">
        <v>122</v>
      </c>
      <c r="K34" s="2" t="s">
        <v>278</v>
      </c>
    </row>
    <row r="35" spans="1:11" ht="27.6">
      <c r="A35" s="2" t="s">
        <v>279</v>
      </c>
      <c r="B35" s="2" t="s">
        <v>70</v>
      </c>
      <c r="C35" s="2" t="s">
        <v>280</v>
      </c>
      <c r="D35" s="2" t="s">
        <v>130</v>
      </c>
      <c r="E35" s="2" t="s">
        <v>281</v>
      </c>
      <c r="F35" s="2" t="s">
        <v>282</v>
      </c>
      <c r="G35" s="2" t="s">
        <v>106</v>
      </c>
      <c r="H35" s="2" t="s">
        <v>283</v>
      </c>
      <c r="I35" s="2" t="s">
        <v>121</v>
      </c>
      <c r="J35" s="2" t="s">
        <v>122</v>
      </c>
      <c r="K35" s="2" t="s">
        <v>279</v>
      </c>
    </row>
    <row r="36" spans="1:11" ht="55.2">
      <c r="A36" s="2" t="s">
        <v>59</v>
      </c>
      <c r="B36" s="2" t="s">
        <v>70</v>
      </c>
      <c r="C36" s="2" t="s">
        <v>284</v>
      </c>
      <c r="D36" s="2" t="s">
        <v>130</v>
      </c>
      <c r="E36" s="2" t="s">
        <v>285</v>
      </c>
      <c r="F36" s="2" t="s">
        <v>286</v>
      </c>
      <c r="G36" s="2" t="s">
        <v>106</v>
      </c>
      <c r="H36" s="2" t="s">
        <v>120</v>
      </c>
      <c r="I36" s="2" t="s">
        <v>121</v>
      </c>
      <c r="J36" s="2" t="s">
        <v>122</v>
      </c>
      <c r="K36" s="2" t="s">
        <v>59</v>
      </c>
    </row>
    <row r="37" spans="1:11" ht="41.4">
      <c r="A37" s="2" t="s">
        <v>287</v>
      </c>
      <c r="B37" s="2" t="s">
        <v>79</v>
      </c>
      <c r="C37" s="2" t="s">
        <v>288</v>
      </c>
      <c r="D37" s="2" t="s">
        <v>117</v>
      </c>
      <c r="E37" s="2" t="s">
        <v>289</v>
      </c>
      <c r="F37" s="2" t="s">
        <v>290</v>
      </c>
      <c r="G37" s="2" t="s">
        <v>144</v>
      </c>
      <c r="H37" s="2" t="s">
        <v>291</v>
      </c>
      <c r="I37" s="2" t="s">
        <v>113</v>
      </c>
      <c r="J37" s="2" t="s">
        <v>292</v>
      </c>
      <c r="K37" s="2" t="s">
        <v>287</v>
      </c>
    </row>
    <row r="38" spans="1:11" ht="27.6">
      <c r="A38" s="2" t="s">
        <v>293</v>
      </c>
      <c r="B38" s="2" t="s">
        <v>88</v>
      </c>
      <c r="C38" s="2" t="s">
        <v>294</v>
      </c>
      <c r="D38" s="2" t="s">
        <v>130</v>
      </c>
      <c r="E38" s="2" t="s">
        <v>295</v>
      </c>
      <c r="F38" s="2" t="s">
        <v>296</v>
      </c>
      <c r="G38" s="2" t="s">
        <v>106</v>
      </c>
      <c r="H38" s="2" t="s">
        <v>120</v>
      </c>
      <c r="I38" s="2" t="s">
        <v>121</v>
      </c>
      <c r="J38" s="2" t="s">
        <v>122</v>
      </c>
      <c r="K38" s="2" t="s">
        <v>293</v>
      </c>
    </row>
    <row r="39" spans="1:11" ht="27.6">
      <c r="A39" s="2" t="s">
        <v>297</v>
      </c>
      <c r="B39" s="2" t="s">
        <v>88</v>
      </c>
      <c r="C39" s="2" t="s">
        <v>298</v>
      </c>
      <c r="D39" s="2" t="s">
        <v>108</v>
      </c>
      <c r="E39" s="2" t="s">
        <v>299</v>
      </c>
      <c r="F39" s="2" t="s">
        <v>300</v>
      </c>
      <c r="G39" s="2" t="s">
        <v>111</v>
      </c>
      <c r="H39" s="2" t="s">
        <v>120</v>
      </c>
      <c r="I39" s="2" t="s">
        <v>121</v>
      </c>
      <c r="J39" s="2" t="s">
        <v>122</v>
      </c>
      <c r="K39" s="2" t="s">
        <v>297</v>
      </c>
    </row>
    <row r="40" spans="1:11" ht="41.4">
      <c r="A40" s="2" t="s">
        <v>62</v>
      </c>
      <c r="B40" s="2" t="s">
        <v>76</v>
      </c>
      <c r="C40" s="2" t="s">
        <v>301</v>
      </c>
      <c r="D40" s="2" t="s">
        <v>130</v>
      </c>
      <c r="E40" s="2" t="s">
        <v>302</v>
      </c>
      <c r="F40" s="2" t="s">
        <v>303</v>
      </c>
      <c r="G40" s="2" t="s">
        <v>111</v>
      </c>
      <c r="H40" s="2" t="s">
        <v>120</v>
      </c>
      <c r="I40" s="2" t="s">
        <v>121</v>
      </c>
      <c r="J40" s="2" t="s">
        <v>122</v>
      </c>
      <c r="K40" s="2" t="s">
        <v>62</v>
      </c>
    </row>
    <row r="41" spans="1:11" ht="41.4">
      <c r="A41" s="2" t="s">
        <v>304</v>
      </c>
      <c r="B41" s="2" t="s">
        <v>79</v>
      </c>
      <c r="C41" s="2" t="s">
        <v>305</v>
      </c>
      <c r="D41" s="2" t="s">
        <v>130</v>
      </c>
      <c r="E41" s="2" t="s">
        <v>306</v>
      </c>
      <c r="F41" s="2" t="s">
        <v>307</v>
      </c>
      <c r="G41" s="2" t="s">
        <v>144</v>
      </c>
      <c r="H41" s="2" t="s">
        <v>308</v>
      </c>
      <c r="I41" s="2" t="s">
        <v>204</v>
      </c>
      <c r="J41" s="2" t="s">
        <v>309</v>
      </c>
      <c r="K41" s="2" t="s">
        <v>304</v>
      </c>
    </row>
    <row r="42" spans="1:11" ht="41.4">
      <c r="A42" s="2" t="s">
        <v>310</v>
      </c>
      <c r="B42" s="2" t="s">
        <v>73</v>
      </c>
      <c r="C42" s="2" t="s">
        <v>311</v>
      </c>
      <c r="D42" s="2" t="s">
        <v>117</v>
      </c>
      <c r="E42" s="2" t="s">
        <v>312</v>
      </c>
      <c r="F42" s="2" t="s">
        <v>313</v>
      </c>
      <c r="G42" s="2" t="s">
        <v>314</v>
      </c>
      <c r="H42" s="2" t="s">
        <v>120</v>
      </c>
      <c r="I42" s="2" t="s">
        <v>121</v>
      </c>
      <c r="J42" s="2" t="s">
        <v>122</v>
      </c>
      <c r="K42" s="2" t="s">
        <v>310</v>
      </c>
    </row>
    <row r="43" spans="1:11" ht="27.6">
      <c r="A43" s="2" t="s">
        <v>315</v>
      </c>
      <c r="B43" s="2" t="s">
        <v>88</v>
      </c>
      <c r="C43" s="2" t="s">
        <v>316</v>
      </c>
      <c r="D43" s="2" t="s">
        <v>130</v>
      </c>
      <c r="E43" s="2" t="s">
        <v>317</v>
      </c>
      <c r="F43" s="2" t="s">
        <v>318</v>
      </c>
      <c r="G43" s="2" t="s">
        <v>111</v>
      </c>
      <c r="H43" s="2" t="s">
        <v>120</v>
      </c>
      <c r="I43" s="2" t="s">
        <v>121</v>
      </c>
      <c r="J43" s="2" t="s">
        <v>122</v>
      </c>
      <c r="K43" s="2" t="s">
        <v>315</v>
      </c>
    </row>
    <row r="44" spans="1:11" ht="27.6">
      <c r="A44" s="2" t="s">
        <v>319</v>
      </c>
      <c r="B44" s="2" t="s">
        <v>85</v>
      </c>
      <c r="C44" s="2" t="s">
        <v>320</v>
      </c>
      <c r="D44" s="2" t="s">
        <v>117</v>
      </c>
      <c r="E44" s="2" t="s">
        <v>321</v>
      </c>
      <c r="F44" s="2" t="s">
        <v>322</v>
      </c>
      <c r="G44" s="2" t="s">
        <v>106</v>
      </c>
      <c r="H44" s="2" t="s">
        <v>323</v>
      </c>
      <c r="I44" s="2" t="s">
        <v>113</v>
      </c>
      <c r="J44" s="2" t="s">
        <v>324</v>
      </c>
      <c r="K44" s="2" t="s">
        <v>319</v>
      </c>
    </row>
    <row r="45" spans="1:11" ht="41.4">
      <c r="A45" s="2" t="s">
        <v>325</v>
      </c>
      <c r="B45" s="2" t="s">
        <v>88</v>
      </c>
      <c r="C45" s="2" t="s">
        <v>326</v>
      </c>
      <c r="D45" s="2" t="s">
        <v>117</v>
      </c>
      <c r="E45" s="2" t="s">
        <v>327</v>
      </c>
      <c r="F45" s="2" t="s">
        <v>328</v>
      </c>
      <c r="G45" s="2" t="s">
        <v>195</v>
      </c>
      <c r="H45" s="2" t="s">
        <v>120</v>
      </c>
      <c r="I45" s="2" t="s">
        <v>121</v>
      </c>
      <c r="J45" s="2" t="s">
        <v>122</v>
      </c>
      <c r="K45" s="2" t="s">
        <v>325</v>
      </c>
    </row>
    <row r="46" spans="1:11" ht="41.4">
      <c r="A46" s="2" t="s">
        <v>329</v>
      </c>
      <c r="B46" s="2" t="s">
        <v>70</v>
      </c>
      <c r="C46" s="2" t="s">
        <v>330</v>
      </c>
      <c r="D46" s="2" t="s">
        <v>108</v>
      </c>
      <c r="E46" s="2" t="s">
        <v>331</v>
      </c>
      <c r="F46" s="2" t="s">
        <v>332</v>
      </c>
      <c r="G46" s="2" t="s">
        <v>333</v>
      </c>
      <c r="H46" s="2" t="s">
        <v>133</v>
      </c>
      <c r="I46" s="2" t="s">
        <v>113</v>
      </c>
      <c r="J46" s="2" t="s">
        <v>134</v>
      </c>
      <c r="K46" s="2" t="s">
        <v>106</v>
      </c>
    </row>
    <row r="47" spans="1:11" ht="27.6">
      <c r="A47" s="2" t="s">
        <v>334</v>
      </c>
      <c r="B47" s="2" t="s">
        <v>73</v>
      </c>
      <c r="C47" s="2" t="s">
        <v>335</v>
      </c>
      <c r="D47" s="2" t="s">
        <v>117</v>
      </c>
      <c r="E47" s="2" t="s">
        <v>336</v>
      </c>
      <c r="F47" s="2" t="s">
        <v>337</v>
      </c>
      <c r="G47" s="2" t="s">
        <v>140</v>
      </c>
      <c r="H47" s="2" t="s">
        <v>338</v>
      </c>
      <c r="I47" s="2" t="s">
        <v>121</v>
      </c>
      <c r="J47" s="2" t="s">
        <v>122</v>
      </c>
      <c r="K47" s="2" t="s">
        <v>147</v>
      </c>
    </row>
    <row r="48" spans="1:11" ht="27.6">
      <c r="A48" s="2" t="s">
        <v>339</v>
      </c>
      <c r="B48" s="2" t="s">
        <v>76</v>
      </c>
      <c r="C48" s="2" t="s">
        <v>340</v>
      </c>
      <c r="D48" s="2" t="s">
        <v>130</v>
      </c>
      <c r="E48" s="2" t="s">
        <v>341</v>
      </c>
      <c r="F48" s="2" t="s">
        <v>342</v>
      </c>
      <c r="G48" s="2" t="s">
        <v>111</v>
      </c>
      <c r="H48" s="2" t="s">
        <v>343</v>
      </c>
      <c r="I48" s="2" t="s">
        <v>121</v>
      </c>
      <c r="J48" s="2" t="s">
        <v>122</v>
      </c>
      <c r="K48" s="2" t="s">
        <v>168</v>
      </c>
    </row>
    <row r="49" spans="1:11" ht="27.6">
      <c r="A49" s="2" t="s">
        <v>344</v>
      </c>
      <c r="B49" s="2" t="s">
        <v>76</v>
      </c>
      <c r="C49" s="2" t="s">
        <v>345</v>
      </c>
      <c r="D49" s="2" t="s">
        <v>130</v>
      </c>
      <c r="E49" s="2" t="s">
        <v>346</v>
      </c>
      <c r="F49" s="2" t="s">
        <v>347</v>
      </c>
      <c r="G49" s="2" t="s">
        <v>348</v>
      </c>
      <c r="H49" s="2" t="s">
        <v>120</v>
      </c>
      <c r="I49" s="2" t="s">
        <v>121</v>
      </c>
      <c r="J49" s="2" t="s">
        <v>122</v>
      </c>
      <c r="K49" s="2" t="s">
        <v>44</v>
      </c>
    </row>
    <row r="50" spans="1:11" ht="41.4">
      <c r="A50" s="2" t="s">
        <v>349</v>
      </c>
      <c r="B50" s="2" t="s">
        <v>85</v>
      </c>
      <c r="C50" s="2" t="s">
        <v>350</v>
      </c>
      <c r="D50" s="2" t="s">
        <v>117</v>
      </c>
      <c r="E50" s="2" t="s">
        <v>351</v>
      </c>
      <c r="F50" s="2" t="s">
        <v>352</v>
      </c>
      <c r="G50" s="2" t="s">
        <v>144</v>
      </c>
      <c r="H50" s="2" t="s">
        <v>353</v>
      </c>
      <c r="I50" s="2" t="s">
        <v>204</v>
      </c>
      <c r="J50" s="2" t="s">
        <v>354</v>
      </c>
      <c r="K50" s="2" t="s">
        <v>209</v>
      </c>
    </row>
    <row r="51" spans="1:11" ht="27.6">
      <c r="A51" s="2" t="s">
        <v>355</v>
      </c>
      <c r="B51" s="2" t="s">
        <v>91</v>
      </c>
      <c r="C51" s="2" t="s">
        <v>356</v>
      </c>
      <c r="D51" s="2" t="s">
        <v>130</v>
      </c>
      <c r="E51" s="2" t="s">
        <v>357</v>
      </c>
      <c r="F51" s="2" t="s">
        <v>358</v>
      </c>
      <c r="G51" s="2" t="s">
        <v>111</v>
      </c>
      <c r="H51" s="2" t="s">
        <v>120</v>
      </c>
      <c r="I51" s="2" t="s">
        <v>121</v>
      </c>
      <c r="J51" s="2" t="s">
        <v>122</v>
      </c>
      <c r="K51" s="2" t="s">
        <v>56</v>
      </c>
    </row>
    <row r="52" spans="1:11" ht="55.2">
      <c r="A52" s="2" t="s">
        <v>359</v>
      </c>
      <c r="B52" s="2" t="s">
        <v>79</v>
      </c>
      <c r="C52" s="2" t="s">
        <v>360</v>
      </c>
      <c r="D52" s="2" t="s">
        <v>117</v>
      </c>
      <c r="E52" s="2" t="s">
        <v>361</v>
      </c>
      <c r="F52" s="2" t="s">
        <v>362</v>
      </c>
      <c r="G52" s="2" t="s">
        <v>237</v>
      </c>
      <c r="H52" s="2" t="s">
        <v>363</v>
      </c>
      <c r="I52" s="2" t="s">
        <v>204</v>
      </c>
      <c r="J52" s="2" t="s">
        <v>364</v>
      </c>
      <c r="K52" s="2" t="s">
        <v>237</v>
      </c>
    </row>
    <row r="53" spans="1:11" ht="41.4">
      <c r="A53" s="2" t="s">
        <v>365</v>
      </c>
      <c r="B53" s="2" t="s">
        <v>82</v>
      </c>
      <c r="C53" s="2" t="s">
        <v>366</v>
      </c>
      <c r="D53" s="2" t="s">
        <v>117</v>
      </c>
      <c r="E53" s="2" t="s">
        <v>367</v>
      </c>
      <c r="F53" s="2" t="s">
        <v>368</v>
      </c>
      <c r="G53" s="2" t="s">
        <v>140</v>
      </c>
      <c r="H53" s="2" t="s">
        <v>120</v>
      </c>
      <c r="I53" s="2" t="s">
        <v>121</v>
      </c>
      <c r="J53" s="2" t="s">
        <v>122</v>
      </c>
      <c r="K53" s="2" t="s">
        <v>243</v>
      </c>
    </row>
    <row r="54" spans="1:11" ht="41.4">
      <c r="A54" s="2" t="s">
        <v>369</v>
      </c>
      <c r="B54" s="2" t="s">
        <v>73</v>
      </c>
      <c r="C54" s="2" t="s">
        <v>370</v>
      </c>
      <c r="D54" s="2" t="s">
        <v>117</v>
      </c>
      <c r="E54" s="2" t="s">
        <v>371</v>
      </c>
      <c r="F54" s="2" t="s">
        <v>372</v>
      </c>
      <c r="G54" s="2" t="s">
        <v>144</v>
      </c>
      <c r="H54" s="2" t="s">
        <v>373</v>
      </c>
      <c r="I54" s="2" t="s">
        <v>204</v>
      </c>
      <c r="J54" s="2" t="s">
        <v>261</v>
      </c>
      <c r="K54" s="2" t="s">
        <v>256</v>
      </c>
    </row>
    <row r="55" spans="1:11" ht="41.4">
      <c r="A55" s="2" t="s">
        <v>374</v>
      </c>
      <c r="B55" s="2" t="s">
        <v>79</v>
      </c>
      <c r="C55" s="2" t="s">
        <v>375</v>
      </c>
      <c r="D55" s="2" t="s">
        <v>117</v>
      </c>
      <c r="E55" s="2" t="s">
        <v>376</v>
      </c>
      <c r="F55" s="2" t="s">
        <v>377</v>
      </c>
      <c r="G55" s="2" t="s">
        <v>106</v>
      </c>
      <c r="H55" s="2" t="s">
        <v>378</v>
      </c>
      <c r="I55" s="2" t="s">
        <v>204</v>
      </c>
      <c r="J55" s="2" t="s">
        <v>379</v>
      </c>
      <c r="K55" s="2" t="s">
        <v>47</v>
      </c>
    </row>
    <row r="56" spans="1:11" ht="41.4">
      <c r="A56" s="2" t="s">
        <v>380</v>
      </c>
      <c r="B56" s="2" t="s">
        <v>79</v>
      </c>
      <c r="C56" s="2" t="s">
        <v>381</v>
      </c>
      <c r="D56" s="2" t="s">
        <v>117</v>
      </c>
      <c r="E56" s="2" t="s">
        <v>382</v>
      </c>
      <c r="F56" s="2" t="s">
        <v>383</v>
      </c>
      <c r="G56" s="2" t="s">
        <v>314</v>
      </c>
      <c r="H56" s="2" t="s">
        <v>190</v>
      </c>
      <c r="I56" s="2" t="s">
        <v>121</v>
      </c>
      <c r="J56" s="2" t="s">
        <v>384</v>
      </c>
      <c r="K56" s="2" t="s">
        <v>50</v>
      </c>
    </row>
    <row r="57" spans="1:11" ht="41.4">
      <c r="A57" s="2" t="s">
        <v>385</v>
      </c>
      <c r="B57" s="2" t="s">
        <v>85</v>
      </c>
      <c r="C57" s="2" t="s">
        <v>386</v>
      </c>
      <c r="D57" s="2" t="s">
        <v>130</v>
      </c>
      <c r="E57" s="2" t="s">
        <v>387</v>
      </c>
      <c r="F57" s="2" t="s">
        <v>388</v>
      </c>
      <c r="G57" s="2" t="s">
        <v>53</v>
      </c>
      <c r="H57" s="2" t="s">
        <v>120</v>
      </c>
      <c r="I57" s="2" t="s">
        <v>121</v>
      </c>
      <c r="J57" s="2" t="s">
        <v>389</v>
      </c>
      <c r="K57" s="2" t="s">
        <v>53</v>
      </c>
    </row>
    <row r="58" spans="1:11" ht="41.4">
      <c r="A58" s="2" t="s">
        <v>390</v>
      </c>
      <c r="B58" s="2" t="s">
        <v>91</v>
      </c>
      <c r="C58" s="2" t="s">
        <v>391</v>
      </c>
      <c r="D58" s="2" t="s">
        <v>130</v>
      </c>
      <c r="E58" s="2" t="s">
        <v>392</v>
      </c>
      <c r="F58" s="2" t="s">
        <v>393</v>
      </c>
      <c r="G58" s="2" t="s">
        <v>195</v>
      </c>
      <c r="H58" s="2" t="s">
        <v>120</v>
      </c>
      <c r="I58" s="2" t="s">
        <v>121</v>
      </c>
      <c r="J58" s="2" t="s">
        <v>394</v>
      </c>
      <c r="K58" s="2" t="s">
        <v>56</v>
      </c>
    </row>
    <row r="59" spans="1:11" ht="41.4">
      <c r="A59" s="2" t="s">
        <v>395</v>
      </c>
      <c r="B59" s="2" t="s">
        <v>76</v>
      </c>
      <c r="C59" s="2" t="s">
        <v>396</v>
      </c>
      <c r="D59" s="2" t="s">
        <v>130</v>
      </c>
      <c r="E59" s="2" t="s">
        <v>397</v>
      </c>
      <c r="F59" s="2" t="s">
        <v>398</v>
      </c>
      <c r="G59" s="2" t="s">
        <v>195</v>
      </c>
      <c r="H59" s="2" t="s">
        <v>399</v>
      </c>
      <c r="I59" s="2" t="s">
        <v>197</v>
      </c>
      <c r="J59" s="2" t="s">
        <v>400</v>
      </c>
      <c r="K59" s="2" t="s">
        <v>62</v>
      </c>
    </row>
    <row r="60" spans="1:11" ht="41.4">
      <c r="A60" s="2" t="s">
        <v>401</v>
      </c>
      <c r="B60" s="2" t="s">
        <v>79</v>
      </c>
      <c r="C60" s="2" t="s">
        <v>402</v>
      </c>
      <c r="D60" s="2" t="s">
        <v>117</v>
      </c>
      <c r="E60" s="2" t="s">
        <v>403</v>
      </c>
      <c r="F60" s="2" t="s">
        <v>404</v>
      </c>
      <c r="G60" s="2" t="s">
        <v>41</v>
      </c>
      <c r="H60" s="2" t="s">
        <v>405</v>
      </c>
      <c r="I60" s="2" t="s">
        <v>113</v>
      </c>
      <c r="J60" s="2" t="s">
        <v>406</v>
      </c>
      <c r="K60" s="2" t="s">
        <v>41</v>
      </c>
    </row>
    <row r="61" spans="1:11" ht="41.4">
      <c r="A61" s="2" t="s">
        <v>407</v>
      </c>
      <c r="B61" s="2" t="s">
        <v>76</v>
      </c>
      <c r="C61" s="2" t="s">
        <v>408</v>
      </c>
      <c r="D61" s="2" t="s">
        <v>130</v>
      </c>
      <c r="E61" s="2" t="s">
        <v>409</v>
      </c>
      <c r="F61" s="2" t="s">
        <v>410</v>
      </c>
      <c r="G61" s="2" t="s">
        <v>411</v>
      </c>
      <c r="H61" s="2" t="s">
        <v>412</v>
      </c>
      <c r="I61" s="2" t="s">
        <v>197</v>
      </c>
      <c r="J61" s="2" t="s">
        <v>413</v>
      </c>
      <c r="K61" s="2" t="s">
        <v>44</v>
      </c>
    </row>
    <row r="62" spans="1:11" ht="27.6">
      <c r="A62" t="s">
        <v>603</v>
      </c>
      <c r="B62" t="s">
        <v>70</v>
      </c>
      <c r="C62" t="s">
        <v>604</v>
      </c>
      <c r="D62" t="s">
        <v>108</v>
      </c>
      <c r="E62" s="6" t="s">
        <v>605</v>
      </c>
    </row>
  </sheetData>
  <mergeCells count="2">
    <mergeCell ref="A1:K1"/>
    <mergeCell ref="A2:K2"/>
  </mergeCells>
  <conditionalFormatting sqref="I5:I64">
    <cfRule type="expression" dxfId="5" priority="1">
      <formula>OR(I5="RN Pendente/Rever",I5="Decisão Pendente")</formula>
    </cfRule>
    <cfRule type="expression" dxfId="4" priority="2">
      <formula>I5="RN a ajustar"</formula>
    </cfRule>
    <cfRule type="expression" dxfId="3" priority="3">
      <formula>I5="Sem pendência RN mapeada"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topLeftCell="A6" zoomScale="70" zoomScaleNormal="70" workbookViewId="0">
      <selection sqref="A1:J1"/>
    </sheetView>
  </sheetViews>
  <sheetFormatPr defaultRowHeight="13.8"/>
  <cols>
    <col min="1" max="2" width="9" customWidth="1"/>
    <col min="3" max="3" width="34" customWidth="1"/>
    <col min="4" max="4" width="62" customWidth="1"/>
    <col min="5" max="5" width="9" customWidth="1"/>
    <col min="6" max="6" width="16" customWidth="1"/>
    <col min="7" max="7" width="78" customWidth="1"/>
    <col min="8" max="8" width="24" customWidth="1"/>
    <col min="9" max="9" width="11" customWidth="1"/>
    <col min="10" max="10" width="48" customWidth="1"/>
  </cols>
  <sheetData>
    <row r="1" spans="1:10" ht="22.35" customHeight="1">
      <c r="A1" s="8" t="s">
        <v>414</v>
      </c>
      <c r="B1" s="8"/>
      <c r="C1" s="8"/>
      <c r="D1" s="8"/>
      <c r="E1" s="8"/>
      <c r="F1" s="8"/>
      <c r="G1" s="8"/>
      <c r="H1" s="8"/>
      <c r="I1" s="8"/>
      <c r="J1" s="8"/>
    </row>
    <row r="2" spans="1:10" ht="27.15" customHeight="1">
      <c r="A2" s="9" t="s">
        <v>415</v>
      </c>
      <c r="B2" s="9"/>
      <c r="C2" s="9"/>
      <c r="D2" s="9"/>
      <c r="E2" s="9"/>
      <c r="F2" s="9"/>
      <c r="G2" s="9"/>
      <c r="H2" s="9"/>
      <c r="I2" s="9"/>
      <c r="J2" s="9"/>
    </row>
    <row r="4" spans="1:10" ht="24" customHeight="1">
      <c r="A4" s="1" t="s">
        <v>96</v>
      </c>
      <c r="B4" s="1" t="s">
        <v>4</v>
      </c>
      <c r="C4" s="1" t="s">
        <v>97</v>
      </c>
      <c r="D4" s="1" t="s">
        <v>99</v>
      </c>
      <c r="E4" s="1" t="s">
        <v>416</v>
      </c>
      <c r="F4" s="1" t="s">
        <v>417</v>
      </c>
      <c r="G4" s="1" t="s">
        <v>418</v>
      </c>
      <c r="H4" s="1" t="s">
        <v>101</v>
      </c>
      <c r="I4" s="1" t="s">
        <v>98</v>
      </c>
      <c r="J4" s="1" t="s">
        <v>419</v>
      </c>
    </row>
    <row r="5" spans="1:10" ht="41.4">
      <c r="A5" s="2" t="s">
        <v>106</v>
      </c>
      <c r="B5" s="2" t="s">
        <v>70</v>
      </c>
      <c r="C5" s="2" t="s">
        <v>107</v>
      </c>
      <c r="D5" s="2" t="s">
        <v>109</v>
      </c>
      <c r="E5" s="2" t="s">
        <v>110</v>
      </c>
      <c r="F5" s="2" t="s">
        <v>420</v>
      </c>
      <c r="G5" s="2" t="s">
        <v>421</v>
      </c>
      <c r="H5" s="2" t="s">
        <v>111</v>
      </c>
      <c r="I5" s="2" t="s">
        <v>108</v>
      </c>
      <c r="J5" s="2"/>
    </row>
    <row r="6" spans="1:10" ht="41.4">
      <c r="A6" s="2" t="s">
        <v>115</v>
      </c>
      <c r="B6" s="2" t="s">
        <v>70</v>
      </c>
      <c r="C6" s="2" t="s">
        <v>116</v>
      </c>
      <c r="D6" s="2" t="s">
        <v>118</v>
      </c>
      <c r="E6" s="2" t="s">
        <v>422</v>
      </c>
      <c r="F6" s="2" t="s">
        <v>420</v>
      </c>
      <c r="G6" s="2" t="s">
        <v>423</v>
      </c>
      <c r="H6" s="2" t="s">
        <v>106</v>
      </c>
      <c r="I6" s="2" t="s">
        <v>117</v>
      </c>
      <c r="J6" s="2"/>
    </row>
    <row r="7" spans="1:10" ht="41.4">
      <c r="A7" s="2" t="s">
        <v>115</v>
      </c>
      <c r="B7" s="2" t="s">
        <v>70</v>
      </c>
      <c r="C7" s="2" t="s">
        <v>116</v>
      </c>
      <c r="D7" s="2" t="s">
        <v>118</v>
      </c>
      <c r="E7" s="2" t="s">
        <v>424</v>
      </c>
      <c r="F7" s="2" t="s">
        <v>420</v>
      </c>
      <c r="G7" s="2" t="s">
        <v>425</v>
      </c>
      <c r="H7" s="2" t="s">
        <v>106</v>
      </c>
      <c r="I7" s="2" t="s">
        <v>117</v>
      </c>
      <c r="J7" s="2"/>
    </row>
    <row r="8" spans="1:10" ht="41.4">
      <c r="A8" s="2" t="s">
        <v>115</v>
      </c>
      <c r="B8" s="2" t="s">
        <v>70</v>
      </c>
      <c r="C8" s="2" t="s">
        <v>116</v>
      </c>
      <c r="D8" s="2" t="s">
        <v>118</v>
      </c>
      <c r="E8" s="2" t="s">
        <v>426</v>
      </c>
      <c r="F8" s="2" t="s">
        <v>420</v>
      </c>
      <c r="G8" s="2" t="s">
        <v>427</v>
      </c>
      <c r="H8" s="2" t="s">
        <v>106</v>
      </c>
      <c r="I8" s="2" t="s">
        <v>117</v>
      </c>
      <c r="J8" s="2"/>
    </row>
    <row r="9" spans="1:10" ht="41.4">
      <c r="A9" s="2" t="s">
        <v>123</v>
      </c>
      <c r="B9" s="2" t="s">
        <v>70</v>
      </c>
      <c r="C9" s="2" t="s">
        <v>124</v>
      </c>
      <c r="D9" s="2" t="s">
        <v>125</v>
      </c>
      <c r="E9" s="2" t="s">
        <v>428</v>
      </c>
      <c r="F9" s="2" t="s">
        <v>420</v>
      </c>
      <c r="G9" s="2" t="s">
        <v>429</v>
      </c>
      <c r="H9" s="2" t="s">
        <v>127</v>
      </c>
      <c r="I9" s="2" t="s">
        <v>108</v>
      </c>
      <c r="J9" s="2"/>
    </row>
    <row r="10" spans="1:10" ht="41.4">
      <c r="A10" s="2" t="s">
        <v>123</v>
      </c>
      <c r="B10" s="2" t="s">
        <v>70</v>
      </c>
      <c r="C10" s="2" t="s">
        <v>124</v>
      </c>
      <c r="D10" s="2" t="s">
        <v>125</v>
      </c>
      <c r="E10" s="2" t="s">
        <v>426</v>
      </c>
      <c r="F10" s="2" t="s">
        <v>430</v>
      </c>
      <c r="G10" s="2" t="s">
        <v>427</v>
      </c>
      <c r="H10" s="2" t="s">
        <v>127</v>
      </c>
      <c r="I10" s="2" t="s">
        <v>108</v>
      </c>
      <c r="J10" s="2" t="s">
        <v>431</v>
      </c>
    </row>
    <row r="11" spans="1:10" ht="27.6">
      <c r="A11" s="2" t="s">
        <v>128</v>
      </c>
      <c r="B11" s="2" t="s">
        <v>70</v>
      </c>
      <c r="C11" s="2" t="s">
        <v>129</v>
      </c>
      <c r="D11" s="2" t="s">
        <v>131</v>
      </c>
      <c r="E11" s="2" t="s">
        <v>132</v>
      </c>
      <c r="F11" s="2" t="s">
        <v>420</v>
      </c>
      <c r="G11" s="2" t="s">
        <v>432</v>
      </c>
      <c r="H11" s="2" t="s">
        <v>106</v>
      </c>
      <c r="I11" s="2" t="s">
        <v>130</v>
      </c>
      <c r="J11" s="2"/>
    </row>
    <row r="12" spans="1:10" ht="41.4">
      <c r="A12" s="2" t="s">
        <v>135</v>
      </c>
      <c r="B12" s="2" t="s">
        <v>70</v>
      </c>
      <c r="C12" s="2" t="s">
        <v>136</v>
      </c>
      <c r="D12" s="2" t="s">
        <v>137</v>
      </c>
      <c r="E12" s="2" t="s">
        <v>138</v>
      </c>
      <c r="F12" s="2" t="s">
        <v>420</v>
      </c>
      <c r="G12" s="2" t="s">
        <v>433</v>
      </c>
      <c r="H12" s="2" t="s">
        <v>111</v>
      </c>
      <c r="I12" s="2" t="s">
        <v>108</v>
      </c>
      <c r="J12" s="2"/>
    </row>
    <row r="13" spans="1:10" ht="41.4">
      <c r="A13" s="2" t="s">
        <v>140</v>
      </c>
      <c r="B13" s="2" t="s">
        <v>73</v>
      </c>
      <c r="C13" s="2" t="s">
        <v>141</v>
      </c>
      <c r="D13" s="2" t="s">
        <v>142</v>
      </c>
      <c r="E13" s="2" t="s">
        <v>434</v>
      </c>
      <c r="F13" s="2" t="s">
        <v>420</v>
      </c>
      <c r="G13" s="2" t="s">
        <v>435</v>
      </c>
      <c r="H13" s="2" t="s">
        <v>144</v>
      </c>
      <c r="I13" s="2" t="s">
        <v>108</v>
      </c>
      <c r="J13" s="2"/>
    </row>
    <row r="14" spans="1:10" ht="41.4">
      <c r="A14" s="2" t="s">
        <v>140</v>
      </c>
      <c r="B14" s="2" t="s">
        <v>73</v>
      </c>
      <c r="C14" s="2" t="s">
        <v>141</v>
      </c>
      <c r="D14" s="2" t="s">
        <v>142</v>
      </c>
      <c r="E14" s="2" t="s">
        <v>436</v>
      </c>
      <c r="F14" s="2" t="s">
        <v>420</v>
      </c>
      <c r="G14" s="2" t="s">
        <v>437</v>
      </c>
      <c r="H14" s="2" t="s">
        <v>144</v>
      </c>
      <c r="I14" s="2" t="s">
        <v>108</v>
      </c>
      <c r="J14" s="2"/>
    </row>
    <row r="15" spans="1:10" ht="41.4">
      <c r="A15" s="2" t="s">
        <v>147</v>
      </c>
      <c r="B15" s="2" t="s">
        <v>73</v>
      </c>
      <c r="C15" s="2" t="s">
        <v>148</v>
      </c>
      <c r="D15" s="2" t="s">
        <v>149</v>
      </c>
      <c r="E15" s="2" t="s">
        <v>438</v>
      </c>
      <c r="F15" s="2" t="s">
        <v>420</v>
      </c>
      <c r="G15" s="2" t="s">
        <v>439</v>
      </c>
      <c r="H15" s="2" t="s">
        <v>140</v>
      </c>
      <c r="I15" s="2" t="s">
        <v>117</v>
      </c>
      <c r="J15" s="2"/>
    </row>
    <row r="16" spans="1:10" ht="41.4">
      <c r="A16" s="2" t="s">
        <v>147</v>
      </c>
      <c r="B16" s="2" t="s">
        <v>73</v>
      </c>
      <c r="C16" s="2" t="s">
        <v>148</v>
      </c>
      <c r="D16" s="2" t="s">
        <v>149</v>
      </c>
      <c r="E16" s="2" t="s">
        <v>440</v>
      </c>
      <c r="F16" s="2" t="s">
        <v>420</v>
      </c>
      <c r="G16" s="2" t="s">
        <v>441</v>
      </c>
      <c r="H16" s="2" t="s">
        <v>140</v>
      </c>
      <c r="I16" s="2" t="s">
        <v>117</v>
      </c>
      <c r="J16" s="2"/>
    </row>
    <row r="17" spans="1:10" ht="41.4">
      <c r="A17" s="2" t="s">
        <v>147</v>
      </c>
      <c r="B17" s="2" t="s">
        <v>73</v>
      </c>
      <c r="C17" s="2" t="s">
        <v>148</v>
      </c>
      <c r="D17" s="2" t="s">
        <v>149</v>
      </c>
      <c r="E17" s="2" t="s">
        <v>442</v>
      </c>
      <c r="F17" s="2" t="s">
        <v>420</v>
      </c>
      <c r="G17" s="2" t="s">
        <v>443</v>
      </c>
      <c r="H17" s="2" t="s">
        <v>140</v>
      </c>
      <c r="I17" s="2" t="s">
        <v>117</v>
      </c>
      <c r="J17" s="2"/>
    </row>
    <row r="18" spans="1:10" ht="41.4">
      <c r="A18" s="2" t="s">
        <v>153</v>
      </c>
      <c r="B18" s="2" t="s">
        <v>73</v>
      </c>
      <c r="C18" s="2" t="s">
        <v>154</v>
      </c>
      <c r="D18" s="2" t="s">
        <v>155</v>
      </c>
      <c r="E18" s="2" t="s">
        <v>156</v>
      </c>
      <c r="F18" s="2" t="s">
        <v>420</v>
      </c>
      <c r="G18" s="2" t="s">
        <v>444</v>
      </c>
      <c r="H18" s="2" t="s">
        <v>144</v>
      </c>
      <c r="I18" s="2" t="s">
        <v>130</v>
      </c>
      <c r="J18" s="2"/>
    </row>
    <row r="19" spans="1:10" ht="41.4">
      <c r="A19" s="2" t="s">
        <v>41</v>
      </c>
      <c r="B19" s="2" t="s">
        <v>76</v>
      </c>
      <c r="C19" s="2" t="s">
        <v>159</v>
      </c>
      <c r="D19" s="2" t="s">
        <v>160</v>
      </c>
      <c r="E19" s="2" t="s">
        <v>161</v>
      </c>
      <c r="F19" s="2" t="s">
        <v>420</v>
      </c>
      <c r="G19" s="2" t="s">
        <v>445</v>
      </c>
      <c r="H19" s="2" t="s">
        <v>111</v>
      </c>
      <c r="I19" s="2" t="s">
        <v>117</v>
      </c>
      <c r="J19" s="2"/>
    </row>
    <row r="20" spans="1:10" ht="27.6">
      <c r="A20" s="2" t="s">
        <v>164</v>
      </c>
      <c r="B20" s="2" t="s">
        <v>76</v>
      </c>
      <c r="C20" s="2" t="s">
        <v>165</v>
      </c>
      <c r="D20" s="2" t="s">
        <v>166</v>
      </c>
      <c r="E20" s="2" t="s">
        <v>167</v>
      </c>
      <c r="F20" s="2" t="s">
        <v>420</v>
      </c>
      <c r="G20" s="2" t="s">
        <v>446</v>
      </c>
      <c r="H20" s="2" t="s">
        <v>41</v>
      </c>
      <c r="I20" s="2" t="s">
        <v>130</v>
      </c>
      <c r="J20" s="2"/>
    </row>
    <row r="21" spans="1:10" ht="41.4">
      <c r="A21" s="2" t="s">
        <v>168</v>
      </c>
      <c r="B21" s="2" t="s">
        <v>76</v>
      </c>
      <c r="C21" s="2" t="s">
        <v>169</v>
      </c>
      <c r="D21" s="2" t="s">
        <v>170</v>
      </c>
      <c r="E21" s="2" t="s">
        <v>447</v>
      </c>
      <c r="F21" s="2" t="s">
        <v>420</v>
      </c>
      <c r="G21" s="2" t="s">
        <v>448</v>
      </c>
      <c r="H21" s="2" t="s">
        <v>127</v>
      </c>
      <c r="I21" s="2" t="s">
        <v>130</v>
      </c>
      <c r="J21" s="2"/>
    </row>
    <row r="22" spans="1:10" ht="41.4">
      <c r="A22" s="2" t="s">
        <v>168</v>
      </c>
      <c r="B22" s="2" t="s">
        <v>76</v>
      </c>
      <c r="C22" s="2" t="s">
        <v>169</v>
      </c>
      <c r="D22" s="2" t="s">
        <v>170</v>
      </c>
      <c r="E22" s="2" t="s">
        <v>449</v>
      </c>
      <c r="F22" s="2" t="s">
        <v>420</v>
      </c>
      <c r="G22" s="2" t="s">
        <v>450</v>
      </c>
      <c r="H22" s="2" t="s">
        <v>127</v>
      </c>
      <c r="I22" s="2" t="s">
        <v>130</v>
      </c>
      <c r="J22" s="2"/>
    </row>
    <row r="23" spans="1:10" ht="41.4">
      <c r="A23" s="2" t="s">
        <v>174</v>
      </c>
      <c r="B23" s="2" t="s">
        <v>79</v>
      </c>
      <c r="C23" s="2" t="s">
        <v>175</v>
      </c>
      <c r="D23" s="2" t="s">
        <v>176</v>
      </c>
      <c r="E23" s="2" t="s">
        <v>177</v>
      </c>
      <c r="F23" s="2" t="s">
        <v>420</v>
      </c>
      <c r="G23" s="2" t="s">
        <v>451</v>
      </c>
      <c r="H23" s="2" t="s">
        <v>144</v>
      </c>
      <c r="I23" s="2" t="s">
        <v>108</v>
      </c>
      <c r="J23" s="2"/>
    </row>
    <row r="24" spans="1:10" ht="41.4">
      <c r="A24" s="2" t="s">
        <v>47</v>
      </c>
      <c r="B24" s="2" t="s">
        <v>79</v>
      </c>
      <c r="C24" s="2" t="s">
        <v>178</v>
      </c>
      <c r="D24" s="2" t="s">
        <v>179</v>
      </c>
      <c r="E24" s="2" t="s">
        <v>452</v>
      </c>
      <c r="F24" s="2" t="s">
        <v>420</v>
      </c>
      <c r="G24" s="2" t="s">
        <v>453</v>
      </c>
      <c r="H24" s="2" t="s">
        <v>106</v>
      </c>
      <c r="I24" s="2" t="s">
        <v>117</v>
      </c>
      <c r="J24" s="2"/>
    </row>
    <row r="25" spans="1:10" ht="41.4">
      <c r="A25" s="2" t="s">
        <v>47</v>
      </c>
      <c r="B25" s="2" t="s">
        <v>79</v>
      </c>
      <c r="C25" s="2" t="s">
        <v>178</v>
      </c>
      <c r="D25" s="2" t="s">
        <v>179</v>
      </c>
      <c r="E25" s="2" t="s">
        <v>454</v>
      </c>
      <c r="F25" s="2" t="s">
        <v>420</v>
      </c>
      <c r="G25" s="2" t="s">
        <v>455</v>
      </c>
      <c r="H25" s="2" t="s">
        <v>106</v>
      </c>
      <c r="I25" s="2" t="s">
        <v>117</v>
      </c>
      <c r="J25" s="2"/>
    </row>
    <row r="26" spans="1:10" ht="41.4">
      <c r="A26" s="2" t="s">
        <v>181</v>
      </c>
      <c r="B26" s="2" t="s">
        <v>79</v>
      </c>
      <c r="C26" s="2" t="s">
        <v>182</v>
      </c>
      <c r="D26" s="2" t="s">
        <v>183</v>
      </c>
      <c r="E26" s="2" t="s">
        <v>184</v>
      </c>
      <c r="F26" s="2" t="s">
        <v>420</v>
      </c>
      <c r="G26" s="2" t="s">
        <v>456</v>
      </c>
      <c r="H26" s="2" t="s">
        <v>185</v>
      </c>
      <c r="I26" s="2" t="s">
        <v>108</v>
      </c>
      <c r="J26" s="2"/>
    </row>
    <row r="27" spans="1:10" ht="41.4">
      <c r="A27" s="2" t="s">
        <v>50</v>
      </c>
      <c r="B27" s="2" t="s">
        <v>85</v>
      </c>
      <c r="C27" s="2" t="s">
        <v>187</v>
      </c>
      <c r="D27" s="2" t="s">
        <v>188</v>
      </c>
      <c r="E27" s="2" t="s">
        <v>189</v>
      </c>
      <c r="F27" s="2" t="s">
        <v>420</v>
      </c>
      <c r="G27" s="2" t="s">
        <v>457</v>
      </c>
      <c r="H27" s="2" t="s">
        <v>106</v>
      </c>
      <c r="I27" s="2" t="s">
        <v>130</v>
      </c>
      <c r="J27" s="2"/>
    </row>
    <row r="28" spans="1:10" ht="41.4">
      <c r="A28" s="2" t="s">
        <v>44</v>
      </c>
      <c r="B28" s="2" t="s">
        <v>76</v>
      </c>
      <c r="C28" s="2" t="s">
        <v>192</v>
      </c>
      <c r="D28" s="2" t="s">
        <v>193</v>
      </c>
      <c r="E28" s="2" t="s">
        <v>194</v>
      </c>
      <c r="F28" s="2" t="s">
        <v>420</v>
      </c>
      <c r="G28" s="2" t="s">
        <v>458</v>
      </c>
      <c r="H28" s="2" t="s">
        <v>195</v>
      </c>
      <c r="I28" s="2" t="s">
        <v>130</v>
      </c>
      <c r="J28" s="2"/>
    </row>
    <row r="29" spans="1:10" ht="27.6">
      <c r="A29" s="2" t="s">
        <v>199</v>
      </c>
      <c r="B29" s="2" t="s">
        <v>88</v>
      </c>
      <c r="C29" s="2" t="s">
        <v>200</v>
      </c>
      <c r="D29" s="2" t="s">
        <v>201</v>
      </c>
      <c r="E29" s="2" t="s">
        <v>202</v>
      </c>
      <c r="F29" s="2" t="s">
        <v>420</v>
      </c>
      <c r="G29" s="2" t="s">
        <v>459</v>
      </c>
      <c r="H29" s="2" t="s">
        <v>111</v>
      </c>
      <c r="I29" s="2" t="s">
        <v>117</v>
      </c>
      <c r="J29" s="2"/>
    </row>
    <row r="30" spans="1:10" ht="41.4">
      <c r="A30" s="2" t="s">
        <v>53</v>
      </c>
      <c r="B30" s="2" t="s">
        <v>85</v>
      </c>
      <c r="C30" s="2" t="s">
        <v>206</v>
      </c>
      <c r="D30" s="2" t="s">
        <v>207</v>
      </c>
      <c r="E30" s="2" t="s">
        <v>208</v>
      </c>
      <c r="F30" s="2" t="s">
        <v>420</v>
      </c>
      <c r="G30" s="2" t="s">
        <v>460</v>
      </c>
      <c r="H30" s="2" t="s">
        <v>106</v>
      </c>
      <c r="I30" s="2" t="s">
        <v>117</v>
      </c>
      <c r="J30" s="2"/>
    </row>
    <row r="31" spans="1:10" ht="27.6">
      <c r="A31" s="2" t="s">
        <v>209</v>
      </c>
      <c r="B31" s="2" t="s">
        <v>85</v>
      </c>
      <c r="C31" s="2" t="s">
        <v>210</v>
      </c>
      <c r="D31" s="2" t="s">
        <v>211</v>
      </c>
      <c r="E31" s="2" t="s">
        <v>212</v>
      </c>
      <c r="F31" s="2" t="s">
        <v>420</v>
      </c>
      <c r="G31" s="2" t="s">
        <v>461</v>
      </c>
      <c r="H31" s="2" t="s">
        <v>144</v>
      </c>
      <c r="I31" s="2" t="s">
        <v>117</v>
      </c>
      <c r="J31" s="2"/>
    </row>
    <row r="32" spans="1:10" ht="27.6">
      <c r="A32" s="2" t="s">
        <v>215</v>
      </c>
      <c r="B32" s="2" t="s">
        <v>88</v>
      </c>
      <c r="C32" s="2" t="s">
        <v>216</v>
      </c>
      <c r="D32" s="2" t="s">
        <v>217</v>
      </c>
      <c r="E32" s="2" t="s">
        <v>218</v>
      </c>
      <c r="F32" s="2" t="s">
        <v>420</v>
      </c>
      <c r="G32" s="2" t="s">
        <v>462</v>
      </c>
      <c r="H32" s="2" t="s">
        <v>219</v>
      </c>
      <c r="I32" s="2" t="s">
        <v>117</v>
      </c>
      <c r="J32" s="2"/>
    </row>
    <row r="33" spans="1:10" ht="41.4">
      <c r="A33" s="2" t="s">
        <v>222</v>
      </c>
      <c r="B33" s="2" t="s">
        <v>70</v>
      </c>
      <c r="C33" s="2" t="s">
        <v>223</v>
      </c>
      <c r="D33" s="2" t="s">
        <v>224</v>
      </c>
      <c r="E33" s="2" t="s">
        <v>225</v>
      </c>
      <c r="F33" s="2" t="s">
        <v>420</v>
      </c>
      <c r="G33" s="2" t="s">
        <v>463</v>
      </c>
      <c r="H33" s="2" t="s">
        <v>219</v>
      </c>
      <c r="I33" s="2" t="s">
        <v>130</v>
      </c>
      <c r="J33" s="2"/>
    </row>
    <row r="34" spans="1:10" ht="41.4">
      <c r="A34" s="2" t="s">
        <v>56</v>
      </c>
      <c r="B34" s="2" t="s">
        <v>91</v>
      </c>
      <c r="C34" s="2" t="s">
        <v>228</v>
      </c>
      <c r="D34" s="2" t="s">
        <v>229</v>
      </c>
      <c r="E34" s="2" t="s">
        <v>230</v>
      </c>
      <c r="F34" s="2" t="s">
        <v>420</v>
      </c>
      <c r="G34" s="2" t="s">
        <v>464</v>
      </c>
      <c r="H34" s="2" t="s">
        <v>111</v>
      </c>
      <c r="I34" s="2" t="s">
        <v>130</v>
      </c>
      <c r="J34" s="2"/>
    </row>
    <row r="35" spans="1:10" ht="41.4">
      <c r="A35" s="2" t="s">
        <v>231</v>
      </c>
      <c r="B35" s="2" t="s">
        <v>85</v>
      </c>
      <c r="C35" s="2" t="s">
        <v>232</v>
      </c>
      <c r="D35" s="2" t="s">
        <v>233</v>
      </c>
      <c r="E35" s="2" t="s">
        <v>465</v>
      </c>
      <c r="F35" s="2" t="s">
        <v>420</v>
      </c>
      <c r="G35" s="2" t="s">
        <v>466</v>
      </c>
      <c r="H35" s="2" t="s">
        <v>106</v>
      </c>
      <c r="I35" s="2" t="s">
        <v>117</v>
      </c>
      <c r="J35" s="2"/>
    </row>
    <row r="36" spans="1:10" ht="41.4">
      <c r="A36" s="2" t="s">
        <v>231</v>
      </c>
      <c r="B36" s="2" t="s">
        <v>85</v>
      </c>
      <c r="C36" s="2" t="s">
        <v>232</v>
      </c>
      <c r="D36" s="2" t="s">
        <v>233</v>
      </c>
      <c r="E36" s="2" t="s">
        <v>467</v>
      </c>
      <c r="F36" s="2" t="s">
        <v>420</v>
      </c>
      <c r="G36" s="2" t="s">
        <v>468</v>
      </c>
      <c r="H36" s="2" t="s">
        <v>106</v>
      </c>
      <c r="I36" s="2" t="s">
        <v>117</v>
      </c>
      <c r="J36" s="2"/>
    </row>
    <row r="37" spans="1:10" ht="27.6">
      <c r="A37" s="2" t="s">
        <v>237</v>
      </c>
      <c r="B37" s="2" t="s">
        <v>79</v>
      </c>
      <c r="C37" s="2" t="s">
        <v>238</v>
      </c>
      <c r="D37" s="2" t="s">
        <v>239</v>
      </c>
      <c r="E37" s="2" t="s">
        <v>240</v>
      </c>
      <c r="F37" s="2" t="s">
        <v>420</v>
      </c>
      <c r="G37" s="2" t="s">
        <v>469</v>
      </c>
      <c r="H37" s="2" t="s">
        <v>106</v>
      </c>
      <c r="I37" s="2" t="s">
        <v>117</v>
      </c>
      <c r="J37" s="2"/>
    </row>
    <row r="38" spans="1:10" ht="41.4">
      <c r="A38" s="2" t="s">
        <v>243</v>
      </c>
      <c r="B38" s="2" t="s">
        <v>82</v>
      </c>
      <c r="C38" s="2" t="s">
        <v>244</v>
      </c>
      <c r="D38" s="2" t="s">
        <v>245</v>
      </c>
      <c r="E38" s="2" t="s">
        <v>470</v>
      </c>
      <c r="F38" s="2" t="s">
        <v>420</v>
      </c>
      <c r="G38" s="2" t="s">
        <v>471</v>
      </c>
      <c r="H38" s="2" t="s">
        <v>140</v>
      </c>
      <c r="I38" s="2" t="s">
        <v>117</v>
      </c>
      <c r="J38" s="2"/>
    </row>
    <row r="39" spans="1:10" ht="41.4">
      <c r="A39" s="2" t="s">
        <v>243</v>
      </c>
      <c r="B39" s="2" t="s">
        <v>82</v>
      </c>
      <c r="C39" s="2" t="s">
        <v>244</v>
      </c>
      <c r="D39" s="2" t="s">
        <v>245</v>
      </c>
      <c r="E39" s="2" t="s">
        <v>472</v>
      </c>
      <c r="F39" s="2" t="s">
        <v>420</v>
      </c>
      <c r="G39" s="2" t="s">
        <v>473</v>
      </c>
      <c r="H39" s="2" t="s">
        <v>140</v>
      </c>
      <c r="I39" s="2" t="s">
        <v>117</v>
      </c>
      <c r="J39" s="2"/>
    </row>
    <row r="40" spans="1:10" ht="27.6">
      <c r="A40" s="2" t="s">
        <v>250</v>
      </c>
      <c r="B40" s="2" t="s">
        <v>82</v>
      </c>
      <c r="C40" s="2" t="s">
        <v>251</v>
      </c>
      <c r="D40" s="2" t="s">
        <v>252</v>
      </c>
      <c r="E40" s="2" t="s">
        <v>253</v>
      </c>
      <c r="F40" s="2" t="s">
        <v>420</v>
      </c>
      <c r="G40" s="2" t="s">
        <v>474</v>
      </c>
      <c r="H40" s="2" t="s">
        <v>111</v>
      </c>
      <c r="I40" s="2" t="s">
        <v>130</v>
      </c>
      <c r="J40" s="2"/>
    </row>
    <row r="41" spans="1:10" ht="41.4">
      <c r="A41" s="2" t="s">
        <v>256</v>
      </c>
      <c r="B41" s="2" t="s">
        <v>73</v>
      </c>
      <c r="C41" s="2" t="s">
        <v>257</v>
      </c>
      <c r="D41" s="2" t="s">
        <v>258</v>
      </c>
      <c r="E41" s="2" t="s">
        <v>475</v>
      </c>
      <c r="F41" s="2" t="s">
        <v>420</v>
      </c>
      <c r="G41" s="2" t="s">
        <v>476</v>
      </c>
      <c r="H41" s="2" t="s">
        <v>144</v>
      </c>
      <c r="I41" s="2" t="s">
        <v>117</v>
      </c>
      <c r="J41" s="2"/>
    </row>
    <row r="42" spans="1:10" ht="41.4">
      <c r="A42" s="2" t="s">
        <v>256</v>
      </c>
      <c r="B42" s="2" t="s">
        <v>73</v>
      </c>
      <c r="C42" s="2" t="s">
        <v>257</v>
      </c>
      <c r="D42" s="2" t="s">
        <v>258</v>
      </c>
      <c r="E42" s="2" t="s">
        <v>477</v>
      </c>
      <c r="F42" s="2" t="s">
        <v>420</v>
      </c>
      <c r="G42" s="2" t="s">
        <v>478</v>
      </c>
      <c r="H42" s="2" t="s">
        <v>144</v>
      </c>
      <c r="I42" s="2" t="s">
        <v>117</v>
      </c>
      <c r="J42" s="2"/>
    </row>
    <row r="43" spans="1:10" ht="27.6">
      <c r="A43" s="2" t="s">
        <v>262</v>
      </c>
      <c r="B43" s="2" t="s">
        <v>88</v>
      </c>
      <c r="C43" s="2" t="s">
        <v>263</v>
      </c>
      <c r="D43" s="2" t="s">
        <v>264</v>
      </c>
      <c r="E43" s="2" t="s">
        <v>479</v>
      </c>
      <c r="F43" s="2" t="s">
        <v>420</v>
      </c>
      <c r="G43" s="2" t="s">
        <v>480</v>
      </c>
      <c r="H43" s="2" t="s">
        <v>111</v>
      </c>
      <c r="I43" s="2" t="s">
        <v>130</v>
      </c>
      <c r="J43" s="2"/>
    </row>
    <row r="44" spans="1:10" ht="27.6">
      <c r="A44" s="2" t="s">
        <v>262</v>
      </c>
      <c r="B44" s="2" t="s">
        <v>88</v>
      </c>
      <c r="C44" s="2" t="s">
        <v>263</v>
      </c>
      <c r="D44" s="2" t="s">
        <v>264</v>
      </c>
      <c r="E44" s="2" t="s">
        <v>481</v>
      </c>
      <c r="F44" s="2" t="s">
        <v>420</v>
      </c>
      <c r="G44" s="2" t="s">
        <v>482</v>
      </c>
      <c r="H44" s="2" t="s">
        <v>111</v>
      </c>
      <c r="I44" s="2" t="s">
        <v>130</v>
      </c>
      <c r="J44" s="2"/>
    </row>
    <row r="45" spans="1:10" ht="41.4">
      <c r="A45" s="2" t="s">
        <v>266</v>
      </c>
      <c r="B45" s="2" t="s">
        <v>82</v>
      </c>
      <c r="C45" s="2" t="s">
        <v>267</v>
      </c>
      <c r="D45" s="2" t="s">
        <v>268</v>
      </c>
      <c r="E45" s="2" t="s">
        <v>483</v>
      </c>
      <c r="F45" s="2" t="s">
        <v>420</v>
      </c>
      <c r="G45" s="2" t="s">
        <v>484</v>
      </c>
      <c r="H45" s="2" t="s">
        <v>111</v>
      </c>
      <c r="I45" s="2" t="s">
        <v>117</v>
      </c>
      <c r="J45" s="2"/>
    </row>
    <row r="46" spans="1:10" ht="41.4">
      <c r="A46" s="2" t="s">
        <v>266</v>
      </c>
      <c r="B46" s="2" t="s">
        <v>82</v>
      </c>
      <c r="C46" s="2" t="s">
        <v>267</v>
      </c>
      <c r="D46" s="2" t="s">
        <v>268</v>
      </c>
      <c r="E46" s="2" t="s">
        <v>485</v>
      </c>
      <c r="F46" s="2" t="s">
        <v>420</v>
      </c>
      <c r="G46" s="2" t="s">
        <v>486</v>
      </c>
      <c r="H46" s="2" t="s">
        <v>111</v>
      </c>
      <c r="I46" s="2" t="s">
        <v>117</v>
      </c>
      <c r="J46" s="2"/>
    </row>
    <row r="47" spans="1:10" ht="27.6">
      <c r="A47" s="2" t="s">
        <v>272</v>
      </c>
      <c r="B47" s="2" t="s">
        <v>79</v>
      </c>
      <c r="C47" s="2" t="s">
        <v>273</v>
      </c>
      <c r="D47" s="2" t="s">
        <v>274</v>
      </c>
      <c r="E47" s="2" t="s">
        <v>487</v>
      </c>
      <c r="F47" s="2" t="s">
        <v>420</v>
      </c>
      <c r="G47" s="2" t="s">
        <v>488</v>
      </c>
      <c r="H47" s="2" t="s">
        <v>276</v>
      </c>
      <c r="I47" s="2" t="s">
        <v>117</v>
      </c>
      <c r="J47" s="2"/>
    </row>
    <row r="48" spans="1:10" ht="41.4">
      <c r="A48" s="2" t="s">
        <v>272</v>
      </c>
      <c r="B48" s="2" t="s">
        <v>79</v>
      </c>
      <c r="C48" s="2" t="s">
        <v>273</v>
      </c>
      <c r="D48" s="2" t="s">
        <v>274</v>
      </c>
      <c r="E48" s="2" t="s">
        <v>489</v>
      </c>
      <c r="F48" s="2" t="s">
        <v>420</v>
      </c>
      <c r="G48" s="2" t="s">
        <v>490</v>
      </c>
      <c r="H48" s="2" t="s">
        <v>276</v>
      </c>
      <c r="I48" s="2" t="s">
        <v>117</v>
      </c>
      <c r="J48" s="2"/>
    </row>
    <row r="49" spans="1:10" ht="41.4">
      <c r="A49" s="2" t="s">
        <v>279</v>
      </c>
      <c r="B49" s="2" t="s">
        <v>70</v>
      </c>
      <c r="C49" s="2" t="s">
        <v>280</v>
      </c>
      <c r="D49" s="2" t="s">
        <v>281</v>
      </c>
      <c r="E49" s="2" t="s">
        <v>282</v>
      </c>
      <c r="F49" s="2" t="s">
        <v>420</v>
      </c>
      <c r="G49" s="2" t="s">
        <v>491</v>
      </c>
      <c r="H49" s="2" t="s">
        <v>106</v>
      </c>
      <c r="I49" s="2" t="s">
        <v>130</v>
      </c>
      <c r="J49" s="2"/>
    </row>
    <row r="50" spans="1:10" ht="55.2">
      <c r="A50" s="2" t="s">
        <v>59</v>
      </c>
      <c r="B50" s="2" t="s">
        <v>70</v>
      </c>
      <c r="C50" s="2" t="s">
        <v>284</v>
      </c>
      <c r="D50" s="2" t="s">
        <v>285</v>
      </c>
      <c r="E50" s="2" t="s">
        <v>286</v>
      </c>
      <c r="F50" s="2" t="s">
        <v>420</v>
      </c>
      <c r="G50" s="2" t="s">
        <v>492</v>
      </c>
      <c r="H50" s="2" t="s">
        <v>106</v>
      </c>
      <c r="I50" s="2" t="s">
        <v>130</v>
      </c>
      <c r="J50" s="2"/>
    </row>
    <row r="51" spans="1:10" ht="41.4">
      <c r="A51" s="2" t="s">
        <v>287</v>
      </c>
      <c r="B51" s="2" t="s">
        <v>79</v>
      </c>
      <c r="C51" s="2" t="s">
        <v>288</v>
      </c>
      <c r="D51" s="2" t="s">
        <v>289</v>
      </c>
      <c r="E51" s="2" t="s">
        <v>290</v>
      </c>
      <c r="F51" s="2" t="s">
        <v>420</v>
      </c>
      <c r="G51" s="2" t="s">
        <v>493</v>
      </c>
      <c r="H51" s="2" t="s">
        <v>144</v>
      </c>
      <c r="I51" s="2" t="s">
        <v>117</v>
      </c>
      <c r="J51" s="2"/>
    </row>
    <row r="52" spans="1:10" ht="27.6">
      <c r="A52" s="2" t="s">
        <v>293</v>
      </c>
      <c r="B52" s="2" t="s">
        <v>88</v>
      </c>
      <c r="C52" s="2" t="s">
        <v>294</v>
      </c>
      <c r="D52" s="2" t="s">
        <v>295</v>
      </c>
      <c r="E52" s="2" t="s">
        <v>296</v>
      </c>
      <c r="F52" s="2" t="s">
        <v>420</v>
      </c>
      <c r="G52" s="2" t="s">
        <v>494</v>
      </c>
      <c r="H52" s="2" t="s">
        <v>106</v>
      </c>
      <c r="I52" s="2" t="s">
        <v>130</v>
      </c>
      <c r="J52" s="2"/>
    </row>
    <row r="53" spans="1:10" ht="41.4">
      <c r="A53" s="2" t="s">
        <v>297</v>
      </c>
      <c r="B53" s="2" t="s">
        <v>88</v>
      </c>
      <c r="C53" s="2" t="s">
        <v>298</v>
      </c>
      <c r="D53" s="2" t="s">
        <v>299</v>
      </c>
      <c r="E53" s="2" t="s">
        <v>300</v>
      </c>
      <c r="F53" s="2" t="s">
        <v>420</v>
      </c>
      <c r="G53" s="2" t="s">
        <v>495</v>
      </c>
      <c r="H53" s="2" t="s">
        <v>111</v>
      </c>
      <c r="I53" s="2" t="s">
        <v>108</v>
      </c>
      <c r="J53" s="2"/>
    </row>
    <row r="54" spans="1:10" ht="41.4">
      <c r="A54" s="2" t="s">
        <v>62</v>
      </c>
      <c r="B54" s="2" t="s">
        <v>76</v>
      </c>
      <c r="C54" s="2" t="s">
        <v>301</v>
      </c>
      <c r="D54" s="2" t="s">
        <v>302</v>
      </c>
      <c r="E54" s="2" t="s">
        <v>303</v>
      </c>
      <c r="F54" s="2" t="s">
        <v>420</v>
      </c>
      <c r="G54" s="2" t="s">
        <v>496</v>
      </c>
      <c r="H54" s="2" t="s">
        <v>111</v>
      </c>
      <c r="I54" s="2" t="s">
        <v>130</v>
      </c>
      <c r="J54" s="2"/>
    </row>
    <row r="55" spans="1:10" ht="41.4">
      <c r="A55" s="2" t="s">
        <v>304</v>
      </c>
      <c r="B55" s="2" t="s">
        <v>79</v>
      </c>
      <c r="C55" s="2" t="s">
        <v>305</v>
      </c>
      <c r="D55" s="2" t="s">
        <v>306</v>
      </c>
      <c r="E55" s="2" t="s">
        <v>307</v>
      </c>
      <c r="F55" s="2" t="s">
        <v>420</v>
      </c>
      <c r="G55" s="2" t="s">
        <v>497</v>
      </c>
      <c r="H55" s="2" t="s">
        <v>144</v>
      </c>
      <c r="I55" s="2" t="s">
        <v>130</v>
      </c>
      <c r="J55" s="2"/>
    </row>
    <row r="56" spans="1:10" ht="41.4">
      <c r="A56" s="2" t="s">
        <v>310</v>
      </c>
      <c r="B56" s="2" t="s">
        <v>73</v>
      </c>
      <c r="C56" s="2" t="s">
        <v>311</v>
      </c>
      <c r="D56" s="2" t="s">
        <v>312</v>
      </c>
      <c r="E56" s="2" t="s">
        <v>313</v>
      </c>
      <c r="F56" s="2" t="s">
        <v>420</v>
      </c>
      <c r="G56" s="2" t="s">
        <v>498</v>
      </c>
      <c r="H56" s="2" t="s">
        <v>314</v>
      </c>
      <c r="I56" s="2" t="s">
        <v>117</v>
      </c>
      <c r="J56" s="2"/>
    </row>
    <row r="57" spans="1:10" ht="41.4">
      <c r="A57" s="2" t="s">
        <v>315</v>
      </c>
      <c r="B57" s="2" t="s">
        <v>88</v>
      </c>
      <c r="C57" s="2" t="s">
        <v>316</v>
      </c>
      <c r="D57" s="2" t="s">
        <v>317</v>
      </c>
      <c r="E57" s="2" t="s">
        <v>318</v>
      </c>
      <c r="F57" s="2" t="s">
        <v>420</v>
      </c>
      <c r="G57" s="2" t="s">
        <v>499</v>
      </c>
      <c r="H57" s="2" t="s">
        <v>111</v>
      </c>
      <c r="I57" s="2" t="s">
        <v>130</v>
      </c>
      <c r="J57" s="2"/>
    </row>
    <row r="58" spans="1:10" ht="41.4">
      <c r="A58" s="2" t="s">
        <v>319</v>
      </c>
      <c r="B58" s="2" t="s">
        <v>85</v>
      </c>
      <c r="C58" s="2" t="s">
        <v>320</v>
      </c>
      <c r="D58" s="2" t="s">
        <v>321</v>
      </c>
      <c r="E58" s="2" t="s">
        <v>322</v>
      </c>
      <c r="F58" s="2" t="s">
        <v>420</v>
      </c>
      <c r="G58" s="2" t="s">
        <v>500</v>
      </c>
      <c r="H58" s="2" t="s">
        <v>106</v>
      </c>
      <c r="I58" s="2" t="s">
        <v>117</v>
      </c>
      <c r="J58" s="2"/>
    </row>
    <row r="59" spans="1:10" ht="41.4">
      <c r="A59" s="2" t="s">
        <v>325</v>
      </c>
      <c r="B59" s="2" t="s">
        <v>88</v>
      </c>
      <c r="C59" s="2" t="s">
        <v>326</v>
      </c>
      <c r="D59" s="2" t="s">
        <v>327</v>
      </c>
      <c r="E59" s="2" t="s">
        <v>328</v>
      </c>
      <c r="F59" s="2" t="s">
        <v>420</v>
      </c>
      <c r="G59" s="2" t="s">
        <v>501</v>
      </c>
      <c r="H59" s="2" t="s">
        <v>195</v>
      </c>
      <c r="I59" s="2" t="s">
        <v>117</v>
      </c>
      <c r="J59" s="2"/>
    </row>
    <row r="60" spans="1:10" ht="41.4">
      <c r="A60" s="2" t="s">
        <v>329</v>
      </c>
      <c r="B60" s="2" t="s">
        <v>70</v>
      </c>
      <c r="C60" s="2" t="s">
        <v>330</v>
      </c>
      <c r="D60" s="2" t="s">
        <v>331</v>
      </c>
      <c r="E60" s="2" t="s">
        <v>332</v>
      </c>
      <c r="F60" s="2" t="s">
        <v>420</v>
      </c>
      <c r="G60" s="2" t="s">
        <v>502</v>
      </c>
      <c r="H60" s="2" t="s">
        <v>333</v>
      </c>
      <c r="I60" s="2" t="s">
        <v>108</v>
      </c>
      <c r="J60" s="2"/>
    </row>
    <row r="61" spans="1:10" ht="27.6">
      <c r="A61" s="2" t="s">
        <v>334</v>
      </c>
      <c r="B61" s="2" t="s">
        <v>73</v>
      </c>
      <c r="C61" s="2" t="s">
        <v>335</v>
      </c>
      <c r="D61" s="2" t="s">
        <v>336</v>
      </c>
      <c r="E61" s="2" t="s">
        <v>337</v>
      </c>
      <c r="F61" s="2" t="s">
        <v>420</v>
      </c>
      <c r="G61" s="2" t="s">
        <v>503</v>
      </c>
      <c r="H61" s="2" t="s">
        <v>140</v>
      </c>
      <c r="I61" s="2" t="s">
        <v>117</v>
      </c>
      <c r="J61" s="2"/>
    </row>
    <row r="62" spans="1:10" ht="41.4">
      <c r="A62" s="2" t="s">
        <v>339</v>
      </c>
      <c r="B62" s="2" t="s">
        <v>76</v>
      </c>
      <c r="C62" s="2" t="s">
        <v>340</v>
      </c>
      <c r="D62" s="2" t="s">
        <v>341</v>
      </c>
      <c r="E62" s="2" t="s">
        <v>342</v>
      </c>
      <c r="F62" s="2" t="s">
        <v>420</v>
      </c>
      <c r="G62" s="2" t="s">
        <v>504</v>
      </c>
      <c r="H62" s="2" t="s">
        <v>111</v>
      </c>
      <c r="I62" s="2" t="s">
        <v>130</v>
      </c>
      <c r="J62" s="2"/>
    </row>
    <row r="63" spans="1:10" ht="41.4">
      <c r="A63" s="2" t="s">
        <v>344</v>
      </c>
      <c r="B63" s="2" t="s">
        <v>76</v>
      </c>
      <c r="C63" s="2" t="s">
        <v>345</v>
      </c>
      <c r="D63" s="2" t="s">
        <v>346</v>
      </c>
      <c r="E63" s="2" t="s">
        <v>505</v>
      </c>
      <c r="F63" s="2" t="s">
        <v>420</v>
      </c>
      <c r="G63" s="2" t="s">
        <v>506</v>
      </c>
      <c r="H63" s="2" t="s">
        <v>348</v>
      </c>
      <c r="I63" s="2" t="s">
        <v>130</v>
      </c>
      <c r="J63" s="2"/>
    </row>
    <row r="64" spans="1:10" ht="41.4">
      <c r="A64" s="2" t="s">
        <v>344</v>
      </c>
      <c r="B64" s="2" t="s">
        <v>76</v>
      </c>
      <c r="C64" s="2" t="s">
        <v>345</v>
      </c>
      <c r="D64" s="2" t="s">
        <v>346</v>
      </c>
      <c r="E64" s="2" t="s">
        <v>507</v>
      </c>
      <c r="F64" s="2" t="s">
        <v>420</v>
      </c>
      <c r="G64" s="2" t="s">
        <v>508</v>
      </c>
      <c r="H64" s="2" t="s">
        <v>348</v>
      </c>
      <c r="I64" s="2" t="s">
        <v>130</v>
      </c>
      <c r="J64" s="2"/>
    </row>
    <row r="65" spans="1:10" ht="41.4">
      <c r="A65" s="2" t="s">
        <v>349</v>
      </c>
      <c r="B65" s="2" t="s">
        <v>85</v>
      </c>
      <c r="C65" s="2" t="s">
        <v>350</v>
      </c>
      <c r="D65" s="2" t="s">
        <v>351</v>
      </c>
      <c r="E65" s="2" t="s">
        <v>352</v>
      </c>
      <c r="F65" s="2" t="s">
        <v>420</v>
      </c>
      <c r="G65" s="2" t="s">
        <v>509</v>
      </c>
      <c r="H65" s="2" t="s">
        <v>144</v>
      </c>
      <c r="I65" s="2" t="s">
        <v>117</v>
      </c>
      <c r="J65" s="2"/>
    </row>
    <row r="66" spans="1:10" ht="27.6">
      <c r="A66" s="2" t="s">
        <v>355</v>
      </c>
      <c r="B66" s="2" t="s">
        <v>91</v>
      </c>
      <c r="C66" s="2" t="s">
        <v>356</v>
      </c>
      <c r="D66" s="2" t="s">
        <v>357</v>
      </c>
      <c r="E66" s="2" t="s">
        <v>358</v>
      </c>
      <c r="F66" s="2" t="s">
        <v>420</v>
      </c>
      <c r="G66" s="2" t="s">
        <v>510</v>
      </c>
      <c r="H66" s="2" t="s">
        <v>111</v>
      </c>
      <c r="I66" s="2" t="s">
        <v>130</v>
      </c>
      <c r="J66" s="2"/>
    </row>
    <row r="67" spans="1:10" ht="41.4">
      <c r="A67" s="2" t="s">
        <v>359</v>
      </c>
      <c r="B67" s="2" t="s">
        <v>79</v>
      </c>
      <c r="C67" s="2" t="s">
        <v>360</v>
      </c>
      <c r="D67" s="2" t="s">
        <v>361</v>
      </c>
      <c r="E67" s="2" t="s">
        <v>362</v>
      </c>
      <c r="F67" s="2" t="s">
        <v>420</v>
      </c>
      <c r="G67" s="2" t="s">
        <v>511</v>
      </c>
      <c r="H67" s="2" t="s">
        <v>237</v>
      </c>
      <c r="I67" s="2" t="s">
        <v>117</v>
      </c>
      <c r="J67" s="2"/>
    </row>
    <row r="68" spans="1:10" ht="41.4">
      <c r="A68" s="2" t="s">
        <v>365</v>
      </c>
      <c r="B68" s="2" t="s">
        <v>82</v>
      </c>
      <c r="C68" s="2" t="s">
        <v>366</v>
      </c>
      <c r="D68" s="2" t="s">
        <v>367</v>
      </c>
      <c r="E68" s="2" t="s">
        <v>368</v>
      </c>
      <c r="F68" s="2" t="s">
        <v>420</v>
      </c>
      <c r="G68" s="2" t="s">
        <v>512</v>
      </c>
      <c r="H68" s="2" t="s">
        <v>140</v>
      </c>
      <c r="I68" s="2" t="s">
        <v>117</v>
      </c>
      <c r="J68" s="2"/>
    </row>
    <row r="69" spans="1:10" ht="41.4">
      <c r="A69" s="2" t="s">
        <v>369</v>
      </c>
      <c r="B69" s="2" t="s">
        <v>73</v>
      </c>
      <c r="C69" s="2" t="s">
        <v>370</v>
      </c>
      <c r="D69" s="2" t="s">
        <v>371</v>
      </c>
      <c r="E69" s="2" t="s">
        <v>372</v>
      </c>
      <c r="F69" s="2" t="s">
        <v>420</v>
      </c>
      <c r="G69" s="2" t="s">
        <v>513</v>
      </c>
      <c r="H69" s="2" t="s">
        <v>144</v>
      </c>
      <c r="I69" s="2" t="s">
        <v>117</v>
      </c>
      <c r="J69" s="2"/>
    </row>
    <row r="70" spans="1:10" ht="41.4">
      <c r="A70" s="2" t="s">
        <v>374</v>
      </c>
      <c r="B70" s="2" t="s">
        <v>79</v>
      </c>
      <c r="C70" s="2" t="s">
        <v>375</v>
      </c>
      <c r="D70" s="2" t="s">
        <v>376</v>
      </c>
      <c r="E70" s="2" t="s">
        <v>377</v>
      </c>
      <c r="F70" s="2" t="s">
        <v>420</v>
      </c>
      <c r="G70" s="2" t="s">
        <v>514</v>
      </c>
      <c r="H70" s="2" t="s">
        <v>106</v>
      </c>
      <c r="I70" s="2" t="s">
        <v>117</v>
      </c>
      <c r="J70" s="2"/>
    </row>
    <row r="71" spans="1:10" ht="41.4">
      <c r="A71" s="2" t="s">
        <v>380</v>
      </c>
      <c r="B71" s="2" t="s">
        <v>79</v>
      </c>
      <c r="C71" s="2" t="s">
        <v>381</v>
      </c>
      <c r="D71" s="2" t="s">
        <v>382</v>
      </c>
      <c r="E71" s="2" t="s">
        <v>383</v>
      </c>
      <c r="F71" s="2" t="s">
        <v>420</v>
      </c>
      <c r="G71" s="2" t="s">
        <v>515</v>
      </c>
      <c r="H71" s="2" t="s">
        <v>314</v>
      </c>
      <c r="I71" s="2" t="s">
        <v>117</v>
      </c>
      <c r="J71" s="2"/>
    </row>
    <row r="72" spans="1:10" ht="41.4">
      <c r="A72" s="2" t="s">
        <v>385</v>
      </c>
      <c r="B72" s="2" t="s">
        <v>85</v>
      </c>
      <c r="C72" s="2" t="s">
        <v>386</v>
      </c>
      <c r="D72" s="2" t="s">
        <v>387</v>
      </c>
      <c r="E72" s="2" t="s">
        <v>388</v>
      </c>
      <c r="F72" s="2" t="s">
        <v>420</v>
      </c>
      <c r="G72" s="2" t="s">
        <v>516</v>
      </c>
      <c r="H72" s="2" t="s">
        <v>53</v>
      </c>
      <c r="I72" s="2" t="s">
        <v>130</v>
      </c>
      <c r="J72" s="2"/>
    </row>
    <row r="73" spans="1:10" ht="41.4">
      <c r="A73" s="2" t="s">
        <v>390</v>
      </c>
      <c r="B73" s="2" t="s">
        <v>91</v>
      </c>
      <c r="C73" s="2" t="s">
        <v>391</v>
      </c>
      <c r="D73" s="2" t="s">
        <v>392</v>
      </c>
      <c r="E73" s="2" t="s">
        <v>393</v>
      </c>
      <c r="F73" s="2" t="s">
        <v>420</v>
      </c>
      <c r="G73" s="2" t="s">
        <v>517</v>
      </c>
      <c r="H73" s="2" t="s">
        <v>195</v>
      </c>
      <c r="I73" s="2" t="s">
        <v>130</v>
      </c>
      <c r="J73" s="2"/>
    </row>
    <row r="74" spans="1:10" ht="41.4">
      <c r="A74" s="2" t="s">
        <v>395</v>
      </c>
      <c r="B74" s="2" t="s">
        <v>76</v>
      </c>
      <c r="C74" s="2" t="s">
        <v>396</v>
      </c>
      <c r="D74" s="2" t="s">
        <v>397</v>
      </c>
      <c r="E74" s="2" t="s">
        <v>398</v>
      </c>
      <c r="F74" s="2" t="s">
        <v>420</v>
      </c>
      <c r="G74" s="2" t="s">
        <v>518</v>
      </c>
      <c r="H74" s="2" t="s">
        <v>195</v>
      </c>
      <c r="I74" s="2" t="s">
        <v>130</v>
      </c>
      <c r="J74" s="2"/>
    </row>
    <row r="75" spans="1:10" ht="41.4">
      <c r="A75" s="2" t="s">
        <v>401</v>
      </c>
      <c r="B75" s="2" t="s">
        <v>79</v>
      </c>
      <c r="C75" s="2" t="s">
        <v>402</v>
      </c>
      <c r="D75" s="2" t="s">
        <v>403</v>
      </c>
      <c r="E75" s="2" t="s">
        <v>404</v>
      </c>
      <c r="F75" s="2" t="s">
        <v>420</v>
      </c>
      <c r="G75" s="2" t="s">
        <v>519</v>
      </c>
      <c r="H75" s="2" t="s">
        <v>41</v>
      </c>
      <c r="I75" s="2" t="s">
        <v>117</v>
      </c>
      <c r="J75" s="2"/>
    </row>
    <row r="76" spans="1:10" ht="41.4">
      <c r="A76" s="2" t="s">
        <v>407</v>
      </c>
      <c r="B76" s="2" t="s">
        <v>76</v>
      </c>
      <c r="C76" s="2" t="s">
        <v>408</v>
      </c>
      <c r="D76" s="2" t="s">
        <v>409</v>
      </c>
      <c r="E76" s="2" t="s">
        <v>410</v>
      </c>
      <c r="F76" s="2" t="s">
        <v>420</v>
      </c>
      <c r="G76" s="2" t="s">
        <v>520</v>
      </c>
      <c r="H76" s="2" t="s">
        <v>411</v>
      </c>
      <c r="I76" s="2" t="s">
        <v>130</v>
      </c>
      <c r="J76" s="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5"/>
  <sheetViews>
    <sheetView topLeftCell="A17" zoomScale="85" zoomScaleNormal="85" workbookViewId="0">
      <selection sqref="A1:K1"/>
    </sheetView>
  </sheetViews>
  <sheetFormatPr defaultRowHeight="13.8"/>
  <cols>
    <col min="1" max="1" width="9" customWidth="1"/>
    <col min="2" max="2" width="82" customWidth="1"/>
    <col min="3" max="4" width="12" customWidth="1"/>
    <col min="5" max="5" width="35" customWidth="1"/>
    <col min="6" max="6" width="13" customWidth="1"/>
    <col min="7" max="7" width="14" customWidth="1"/>
    <col min="8" max="8" width="35" customWidth="1"/>
    <col min="9" max="9" width="14" customWidth="1"/>
    <col min="10" max="10" width="58" customWidth="1"/>
    <col min="11" max="11" width="29" customWidth="1"/>
  </cols>
  <sheetData>
    <row r="1" spans="1:11" ht="22.35" customHeight="1">
      <c r="A1" s="8" t="s">
        <v>521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.15" customHeight="1">
      <c r="A2" s="9" t="s">
        <v>522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24" customHeight="1">
      <c r="A4" s="1" t="s">
        <v>416</v>
      </c>
      <c r="B4" s="1" t="s">
        <v>418</v>
      </c>
      <c r="C4" s="1" t="s">
        <v>523</v>
      </c>
      <c r="D4" s="1" t="s">
        <v>524</v>
      </c>
      <c r="E4" s="1" t="s">
        <v>525</v>
      </c>
      <c r="F4" s="1" t="s">
        <v>526</v>
      </c>
      <c r="G4" s="1" t="s">
        <v>527</v>
      </c>
      <c r="H4" s="1" t="s">
        <v>528</v>
      </c>
      <c r="I4" s="1" t="s">
        <v>529</v>
      </c>
      <c r="J4" s="1" t="s">
        <v>530</v>
      </c>
      <c r="K4" s="1" t="s">
        <v>531</v>
      </c>
    </row>
    <row r="5" spans="1:11" ht="41.4">
      <c r="A5" s="2" t="s">
        <v>110</v>
      </c>
      <c r="B5" s="2" t="s">
        <v>421</v>
      </c>
      <c r="C5" s="2" t="s">
        <v>108</v>
      </c>
      <c r="D5" s="2" t="s">
        <v>106</v>
      </c>
      <c r="E5" s="2" t="s">
        <v>107</v>
      </c>
      <c r="F5" s="2" t="s">
        <v>70</v>
      </c>
      <c r="G5" s="2"/>
      <c r="H5" s="2"/>
      <c r="I5" s="2"/>
      <c r="J5" s="2"/>
      <c r="K5" s="2" t="s">
        <v>532</v>
      </c>
    </row>
    <row r="6" spans="1:11" ht="41.4">
      <c r="A6" s="2" t="s">
        <v>138</v>
      </c>
      <c r="B6" s="2" t="s">
        <v>433</v>
      </c>
      <c r="C6" s="2" t="s">
        <v>108</v>
      </c>
      <c r="D6" s="2" t="s">
        <v>135</v>
      </c>
      <c r="E6" s="2" t="s">
        <v>136</v>
      </c>
      <c r="F6" s="2" t="s">
        <v>70</v>
      </c>
      <c r="G6" s="2"/>
      <c r="H6" s="2"/>
      <c r="I6" s="2"/>
      <c r="J6" s="2"/>
      <c r="K6" s="2" t="s">
        <v>532</v>
      </c>
    </row>
    <row r="7" spans="1:11" ht="41.4">
      <c r="A7" s="2" t="s">
        <v>434</v>
      </c>
      <c r="B7" s="2" t="s">
        <v>435</v>
      </c>
      <c r="C7" s="2" t="s">
        <v>108</v>
      </c>
      <c r="D7" s="2" t="s">
        <v>140</v>
      </c>
      <c r="E7" s="2" t="s">
        <v>141</v>
      </c>
      <c r="F7" s="2" t="s">
        <v>73</v>
      </c>
      <c r="G7" s="2"/>
      <c r="H7" s="2"/>
      <c r="I7" s="2"/>
      <c r="J7" s="2"/>
      <c r="K7" s="2" t="s">
        <v>532</v>
      </c>
    </row>
    <row r="8" spans="1:11" ht="41.4">
      <c r="A8" s="2" t="s">
        <v>161</v>
      </c>
      <c r="B8" s="2" t="s">
        <v>445</v>
      </c>
      <c r="C8" s="2" t="s">
        <v>117</v>
      </c>
      <c r="D8" s="2" t="s">
        <v>41</v>
      </c>
      <c r="E8" s="2" t="s">
        <v>159</v>
      </c>
      <c r="F8" s="2" t="s">
        <v>76</v>
      </c>
      <c r="G8" s="2"/>
      <c r="H8" s="2"/>
      <c r="I8" s="2"/>
      <c r="J8" s="2"/>
      <c r="K8" s="2" t="s">
        <v>532</v>
      </c>
    </row>
    <row r="9" spans="1:11" ht="41.4">
      <c r="A9" s="2" t="s">
        <v>447</v>
      </c>
      <c r="B9" s="2" t="s">
        <v>448</v>
      </c>
      <c r="C9" s="2" t="s">
        <v>130</v>
      </c>
      <c r="D9" s="2" t="s">
        <v>168</v>
      </c>
      <c r="E9" s="2" t="s">
        <v>169</v>
      </c>
      <c r="F9" s="2" t="s">
        <v>76</v>
      </c>
      <c r="G9" s="2"/>
      <c r="H9" s="2"/>
      <c r="I9" s="2"/>
      <c r="J9" s="2"/>
      <c r="K9" s="2" t="s">
        <v>532</v>
      </c>
    </row>
    <row r="10" spans="1:11" ht="41.4">
      <c r="A10" s="2" t="s">
        <v>177</v>
      </c>
      <c r="B10" s="2" t="s">
        <v>451</v>
      </c>
      <c r="C10" s="2" t="s">
        <v>108</v>
      </c>
      <c r="D10" s="2" t="s">
        <v>174</v>
      </c>
      <c r="E10" s="2" t="s">
        <v>175</v>
      </c>
      <c r="F10" s="2" t="s">
        <v>79</v>
      </c>
      <c r="G10" s="2"/>
      <c r="H10" s="2"/>
      <c r="I10" s="2"/>
      <c r="J10" s="2"/>
      <c r="K10" s="2" t="s">
        <v>532</v>
      </c>
    </row>
    <row r="11" spans="1:11" ht="27.6">
      <c r="A11" s="2" t="s">
        <v>452</v>
      </c>
      <c r="B11" s="2" t="s">
        <v>453</v>
      </c>
      <c r="C11" s="2" t="s">
        <v>117</v>
      </c>
      <c r="D11" s="2" t="s">
        <v>47</v>
      </c>
      <c r="E11" s="2" t="s">
        <v>178</v>
      </c>
      <c r="F11" s="2" t="s">
        <v>79</v>
      </c>
      <c r="G11" s="2"/>
      <c r="H11" s="2"/>
      <c r="I11" s="2"/>
      <c r="J11" s="2"/>
      <c r="K11" s="2" t="s">
        <v>532</v>
      </c>
    </row>
    <row r="12" spans="1:11" ht="41.4">
      <c r="A12" s="2" t="s">
        <v>184</v>
      </c>
      <c r="B12" s="2" t="s">
        <v>456</v>
      </c>
      <c r="C12" s="2" t="s">
        <v>108</v>
      </c>
      <c r="D12" s="2" t="s">
        <v>181</v>
      </c>
      <c r="E12" s="2" t="s">
        <v>182</v>
      </c>
      <c r="F12" s="2" t="s">
        <v>79</v>
      </c>
      <c r="G12" s="2"/>
      <c r="H12" s="2"/>
      <c r="I12" s="2"/>
      <c r="J12" s="2"/>
      <c r="K12" s="2" t="s">
        <v>532</v>
      </c>
    </row>
    <row r="13" spans="1:11" ht="41.4">
      <c r="A13" s="2" t="s">
        <v>189</v>
      </c>
      <c r="B13" s="2" t="s">
        <v>457</v>
      </c>
      <c r="C13" s="2" t="s">
        <v>130</v>
      </c>
      <c r="D13" s="2" t="s">
        <v>50</v>
      </c>
      <c r="E13" s="2" t="s">
        <v>187</v>
      </c>
      <c r="F13" s="2" t="s">
        <v>85</v>
      </c>
      <c r="G13" s="2"/>
      <c r="H13" s="2"/>
      <c r="I13" s="2"/>
      <c r="J13" s="2"/>
      <c r="K13" s="2" t="s">
        <v>532</v>
      </c>
    </row>
    <row r="14" spans="1:11" ht="27.6">
      <c r="A14" s="2" t="s">
        <v>194</v>
      </c>
      <c r="B14" s="2" t="s">
        <v>458</v>
      </c>
      <c r="C14" s="2" t="s">
        <v>130</v>
      </c>
      <c r="D14" s="2" t="s">
        <v>44</v>
      </c>
      <c r="E14" s="2" t="s">
        <v>192</v>
      </c>
      <c r="F14" s="2" t="s">
        <v>76</v>
      </c>
      <c r="G14" s="2"/>
      <c r="H14" s="2"/>
      <c r="I14" s="2"/>
      <c r="J14" s="2"/>
      <c r="K14" s="2" t="s">
        <v>532</v>
      </c>
    </row>
    <row r="15" spans="1:11" ht="27.6">
      <c r="A15" s="2" t="s">
        <v>202</v>
      </c>
      <c r="B15" s="2" t="s">
        <v>459</v>
      </c>
      <c r="C15" s="2" t="s">
        <v>117</v>
      </c>
      <c r="D15" s="2" t="s">
        <v>199</v>
      </c>
      <c r="E15" s="2" t="s">
        <v>200</v>
      </c>
      <c r="F15" s="2" t="s">
        <v>88</v>
      </c>
      <c r="G15" s="2"/>
      <c r="H15" s="2"/>
      <c r="I15" s="2"/>
      <c r="J15" s="2"/>
      <c r="K15" s="2" t="s">
        <v>532</v>
      </c>
    </row>
    <row r="16" spans="1:11" ht="27.6">
      <c r="A16" s="2" t="s">
        <v>208</v>
      </c>
      <c r="B16" s="2" t="s">
        <v>460</v>
      </c>
      <c r="C16" s="2" t="s">
        <v>117</v>
      </c>
      <c r="D16" s="2" t="s">
        <v>53</v>
      </c>
      <c r="E16" s="2" t="s">
        <v>206</v>
      </c>
      <c r="F16" s="2" t="s">
        <v>85</v>
      </c>
      <c r="G16" s="2"/>
      <c r="H16" s="2"/>
      <c r="I16" s="2"/>
      <c r="J16" s="2"/>
      <c r="K16" s="2" t="s">
        <v>532</v>
      </c>
    </row>
    <row r="17" spans="1:11" ht="27.6">
      <c r="A17" s="2" t="s">
        <v>428</v>
      </c>
      <c r="B17" s="2" t="s">
        <v>429</v>
      </c>
      <c r="C17" s="2" t="s">
        <v>108</v>
      </c>
      <c r="D17" s="2" t="s">
        <v>123</v>
      </c>
      <c r="E17" s="2" t="s">
        <v>124</v>
      </c>
      <c r="F17" s="2" t="s">
        <v>70</v>
      </c>
      <c r="G17" s="2"/>
      <c r="H17" s="2"/>
      <c r="I17" s="2"/>
      <c r="J17" s="2"/>
      <c r="K17" s="2" t="s">
        <v>532</v>
      </c>
    </row>
    <row r="18" spans="1:11" ht="27.6">
      <c r="A18" s="2" t="s">
        <v>487</v>
      </c>
      <c r="B18" s="2" t="s">
        <v>488</v>
      </c>
      <c r="C18" s="2" t="s">
        <v>130</v>
      </c>
      <c r="D18" s="2" t="s">
        <v>272</v>
      </c>
      <c r="E18" s="2" t="s">
        <v>273</v>
      </c>
      <c r="F18" s="2" t="s">
        <v>79</v>
      </c>
      <c r="G18" s="2"/>
      <c r="H18" s="2"/>
      <c r="I18" s="2"/>
      <c r="J18" s="2"/>
      <c r="K18" s="2" t="s">
        <v>532</v>
      </c>
    </row>
    <row r="19" spans="1:11" ht="27.6">
      <c r="A19" s="2" t="s">
        <v>212</v>
      </c>
      <c r="B19" s="2" t="s">
        <v>461</v>
      </c>
      <c r="C19" s="2" t="s">
        <v>117</v>
      </c>
      <c r="D19" s="2" t="s">
        <v>209</v>
      </c>
      <c r="E19" s="2" t="s">
        <v>210</v>
      </c>
      <c r="F19" s="2" t="s">
        <v>85</v>
      </c>
      <c r="G19" s="2"/>
      <c r="H19" s="2"/>
      <c r="I19" s="2"/>
      <c r="J19" s="2"/>
      <c r="K19" s="2" t="s">
        <v>532</v>
      </c>
    </row>
    <row r="20" spans="1:11" ht="27.6">
      <c r="A20" s="2" t="s">
        <v>218</v>
      </c>
      <c r="B20" s="2" t="s">
        <v>462</v>
      </c>
      <c r="C20" s="2" t="s">
        <v>117</v>
      </c>
      <c r="D20" s="2" t="s">
        <v>215</v>
      </c>
      <c r="E20" s="2" t="s">
        <v>216</v>
      </c>
      <c r="F20" s="2" t="s">
        <v>88</v>
      </c>
      <c r="G20" s="2"/>
      <c r="H20" s="2"/>
      <c r="I20" s="2"/>
      <c r="J20" s="2"/>
      <c r="K20" s="2" t="s">
        <v>532</v>
      </c>
    </row>
    <row r="21" spans="1:11" ht="41.4">
      <c r="A21" s="2" t="s">
        <v>225</v>
      </c>
      <c r="B21" s="2" t="s">
        <v>463</v>
      </c>
      <c r="C21" s="2" t="s">
        <v>130</v>
      </c>
      <c r="D21" s="2" t="s">
        <v>222</v>
      </c>
      <c r="E21" s="2" t="s">
        <v>223</v>
      </c>
      <c r="F21" s="2" t="s">
        <v>70</v>
      </c>
      <c r="G21" s="2"/>
      <c r="H21" s="2"/>
      <c r="I21" s="2"/>
      <c r="J21" s="2"/>
      <c r="K21" s="2" t="s">
        <v>532</v>
      </c>
    </row>
    <row r="22" spans="1:11" ht="41.4">
      <c r="A22" s="2" t="s">
        <v>342</v>
      </c>
      <c r="B22" s="2" t="s">
        <v>504</v>
      </c>
      <c r="C22" s="2" t="s">
        <v>130</v>
      </c>
      <c r="D22" s="2" t="s">
        <v>339</v>
      </c>
      <c r="E22" s="2" t="s">
        <v>340</v>
      </c>
      <c r="F22" s="2" t="s">
        <v>76</v>
      </c>
      <c r="G22" s="2"/>
      <c r="H22" s="2"/>
      <c r="I22" s="2"/>
      <c r="J22" s="2"/>
      <c r="K22" s="2" t="s">
        <v>532</v>
      </c>
    </row>
    <row r="23" spans="1:11" ht="27.6">
      <c r="A23" s="2" t="s">
        <v>230</v>
      </c>
      <c r="B23" s="2" t="s">
        <v>464</v>
      </c>
      <c r="C23" s="2" t="s">
        <v>130</v>
      </c>
      <c r="D23" s="2" t="s">
        <v>56</v>
      </c>
      <c r="E23" s="2" t="s">
        <v>228</v>
      </c>
      <c r="F23" s="2" t="s">
        <v>91</v>
      </c>
      <c r="G23" s="2"/>
      <c r="H23" s="2"/>
      <c r="I23" s="2"/>
      <c r="J23" s="2"/>
      <c r="K23" s="2" t="s">
        <v>532</v>
      </c>
    </row>
    <row r="24" spans="1:11" ht="27.6">
      <c r="A24" s="2" t="s">
        <v>465</v>
      </c>
      <c r="B24" s="2" t="s">
        <v>466</v>
      </c>
      <c r="C24" s="2" t="s">
        <v>117</v>
      </c>
      <c r="D24" s="2" t="s">
        <v>231</v>
      </c>
      <c r="E24" s="2" t="s">
        <v>232</v>
      </c>
      <c r="F24" s="2" t="s">
        <v>85</v>
      </c>
      <c r="G24" s="2"/>
      <c r="H24" s="2"/>
      <c r="I24" s="2"/>
      <c r="J24" s="2"/>
      <c r="K24" s="2" t="s">
        <v>532</v>
      </c>
    </row>
    <row r="25" spans="1:11" ht="27.6">
      <c r="A25" s="2" t="s">
        <v>422</v>
      </c>
      <c r="B25" s="2" t="s">
        <v>423</v>
      </c>
      <c r="C25" s="2" t="s">
        <v>117</v>
      </c>
      <c r="D25" s="2" t="s">
        <v>115</v>
      </c>
      <c r="E25" s="2" t="s">
        <v>116</v>
      </c>
      <c r="F25" s="2" t="s">
        <v>70</v>
      </c>
      <c r="G25" s="2"/>
      <c r="H25" s="2"/>
      <c r="I25" s="2"/>
      <c r="J25" s="2"/>
      <c r="K25" s="2" t="s">
        <v>532</v>
      </c>
    </row>
    <row r="26" spans="1:11" ht="27.6">
      <c r="A26" s="2" t="s">
        <v>240</v>
      </c>
      <c r="B26" s="2" t="s">
        <v>469</v>
      </c>
      <c r="C26" s="2" t="s">
        <v>117</v>
      </c>
      <c r="D26" s="2" t="s">
        <v>237</v>
      </c>
      <c r="E26" s="2" t="s">
        <v>238</v>
      </c>
      <c r="F26" s="2" t="s">
        <v>79</v>
      </c>
      <c r="G26" s="2"/>
      <c r="H26" s="2"/>
      <c r="I26" s="2"/>
      <c r="J26" s="2"/>
      <c r="K26" s="2" t="s">
        <v>532</v>
      </c>
    </row>
    <row r="27" spans="1:11" ht="27.6">
      <c r="A27" s="2" t="s">
        <v>132</v>
      </c>
      <c r="B27" s="2" t="s">
        <v>432</v>
      </c>
      <c r="C27" s="2" t="s">
        <v>130</v>
      </c>
      <c r="D27" s="2" t="s">
        <v>128</v>
      </c>
      <c r="E27" s="2" t="s">
        <v>129</v>
      </c>
      <c r="F27" s="2" t="s">
        <v>70</v>
      </c>
      <c r="G27" s="2"/>
      <c r="H27" s="2"/>
      <c r="I27" s="2"/>
      <c r="J27" s="2"/>
      <c r="K27" s="2" t="s">
        <v>532</v>
      </c>
    </row>
    <row r="28" spans="1:11" ht="27.6">
      <c r="A28" s="2" t="s">
        <v>436</v>
      </c>
      <c r="B28" s="2" t="s">
        <v>437</v>
      </c>
      <c r="C28" s="2" t="s">
        <v>130</v>
      </c>
      <c r="D28" s="2" t="s">
        <v>140</v>
      </c>
      <c r="E28" s="2" t="s">
        <v>141</v>
      </c>
      <c r="F28" s="2" t="s">
        <v>73</v>
      </c>
      <c r="G28" s="2"/>
      <c r="H28" s="2"/>
      <c r="I28" s="2"/>
      <c r="J28" s="2"/>
      <c r="K28" s="2" t="s">
        <v>532</v>
      </c>
    </row>
    <row r="29" spans="1:11" ht="27.6">
      <c r="A29" s="2" t="s">
        <v>470</v>
      </c>
      <c r="B29" s="2" t="s">
        <v>471</v>
      </c>
      <c r="C29" s="2" t="s">
        <v>117</v>
      </c>
      <c r="D29" s="2" t="s">
        <v>243</v>
      </c>
      <c r="E29" s="2" t="s">
        <v>244</v>
      </c>
      <c r="F29" s="2" t="s">
        <v>82</v>
      </c>
      <c r="G29" s="2"/>
      <c r="H29" s="2"/>
      <c r="I29" s="2"/>
      <c r="J29" s="2"/>
      <c r="K29" s="2" t="s">
        <v>532</v>
      </c>
    </row>
    <row r="30" spans="1:11" ht="27.6">
      <c r="A30" s="2" t="s">
        <v>383</v>
      </c>
      <c r="B30" s="2" t="s">
        <v>515</v>
      </c>
      <c r="C30" s="2" t="s">
        <v>117</v>
      </c>
      <c r="D30" s="2" t="s">
        <v>380</v>
      </c>
      <c r="E30" s="2" t="s">
        <v>381</v>
      </c>
      <c r="F30" s="2" t="s">
        <v>79</v>
      </c>
      <c r="G30" s="2"/>
      <c r="H30" s="2"/>
      <c r="I30" s="2"/>
      <c r="J30" s="2"/>
      <c r="K30" s="2" t="s">
        <v>532</v>
      </c>
    </row>
    <row r="31" spans="1:11" ht="27.6">
      <c r="A31" s="2" t="s">
        <v>475</v>
      </c>
      <c r="B31" s="2" t="s">
        <v>476</v>
      </c>
      <c r="C31" s="2" t="s">
        <v>117</v>
      </c>
      <c r="D31" s="2" t="s">
        <v>256</v>
      </c>
      <c r="E31" s="2" t="s">
        <v>257</v>
      </c>
      <c r="F31" s="2" t="s">
        <v>73</v>
      </c>
      <c r="G31" s="2"/>
      <c r="H31" s="2"/>
      <c r="I31" s="2"/>
      <c r="J31" s="2"/>
      <c r="K31" s="2" t="s">
        <v>532</v>
      </c>
    </row>
    <row r="32" spans="1:11" ht="27.6">
      <c r="A32" s="2" t="s">
        <v>454</v>
      </c>
      <c r="B32" s="2" t="s">
        <v>455</v>
      </c>
      <c r="C32" s="2" t="s">
        <v>117</v>
      </c>
      <c r="D32" s="2" t="s">
        <v>47</v>
      </c>
      <c r="E32" s="2" t="s">
        <v>178</v>
      </c>
      <c r="F32" s="2" t="s">
        <v>79</v>
      </c>
      <c r="G32" s="2"/>
      <c r="H32" s="2"/>
      <c r="I32" s="2"/>
      <c r="J32" s="2"/>
      <c r="K32" s="2" t="s">
        <v>532</v>
      </c>
    </row>
    <row r="33" spans="1:11" ht="41.4">
      <c r="A33" s="2" t="s">
        <v>388</v>
      </c>
      <c r="B33" s="2" t="s">
        <v>516</v>
      </c>
      <c r="C33" s="2" t="s">
        <v>130</v>
      </c>
      <c r="D33" s="2" t="s">
        <v>385</v>
      </c>
      <c r="E33" s="2" t="s">
        <v>386</v>
      </c>
      <c r="F33" s="2" t="s">
        <v>85</v>
      </c>
      <c r="G33" s="2"/>
      <c r="H33" s="2"/>
      <c r="I33" s="2"/>
      <c r="J33" s="2"/>
      <c r="K33" s="2" t="s">
        <v>532</v>
      </c>
    </row>
    <row r="34" spans="1:11" ht="27.6">
      <c r="A34" s="2" t="s">
        <v>167</v>
      </c>
      <c r="B34" s="2" t="s">
        <v>446</v>
      </c>
      <c r="C34" s="2" t="s">
        <v>130</v>
      </c>
      <c r="D34" s="2" t="s">
        <v>164</v>
      </c>
      <c r="E34" s="2" t="s">
        <v>165</v>
      </c>
      <c r="F34" s="2" t="s">
        <v>76</v>
      </c>
      <c r="G34" s="2"/>
      <c r="H34" s="2"/>
      <c r="I34" s="2"/>
      <c r="J34" s="2"/>
      <c r="K34" s="2" t="s">
        <v>532</v>
      </c>
    </row>
    <row r="35" spans="1:11" ht="27.6">
      <c r="A35" s="2" t="s">
        <v>479</v>
      </c>
      <c r="B35" s="2" t="s">
        <v>480</v>
      </c>
      <c r="C35" s="2" t="s">
        <v>130</v>
      </c>
      <c r="D35" s="2" t="s">
        <v>262</v>
      </c>
      <c r="E35" s="2" t="s">
        <v>263</v>
      </c>
      <c r="F35" s="2" t="s">
        <v>88</v>
      </c>
      <c r="G35" s="2"/>
      <c r="H35" s="2"/>
      <c r="I35" s="2"/>
      <c r="J35" s="2"/>
      <c r="K35" s="2" t="s">
        <v>532</v>
      </c>
    </row>
    <row r="36" spans="1:11" ht="27.6">
      <c r="A36" s="2" t="s">
        <v>483</v>
      </c>
      <c r="B36" s="2" t="s">
        <v>484</v>
      </c>
      <c r="C36" s="2" t="s">
        <v>117</v>
      </c>
      <c r="D36" s="2" t="s">
        <v>266</v>
      </c>
      <c r="E36" s="2" t="s">
        <v>267</v>
      </c>
      <c r="F36" s="2" t="s">
        <v>82</v>
      </c>
      <c r="G36" s="2"/>
      <c r="H36" s="2"/>
      <c r="I36" s="2"/>
      <c r="J36" s="2"/>
      <c r="K36" s="2" t="s">
        <v>532</v>
      </c>
    </row>
    <row r="37" spans="1:11" ht="41.4">
      <c r="A37" s="2" t="s">
        <v>352</v>
      </c>
      <c r="B37" s="2" t="s">
        <v>509</v>
      </c>
      <c r="C37" s="2" t="s">
        <v>117</v>
      </c>
      <c r="D37" s="2" t="s">
        <v>349</v>
      </c>
      <c r="E37" s="2" t="s">
        <v>350</v>
      </c>
      <c r="F37" s="2" t="s">
        <v>85</v>
      </c>
      <c r="G37" s="2"/>
      <c r="H37" s="2"/>
      <c r="I37" s="2"/>
      <c r="J37" s="2"/>
      <c r="K37" s="2" t="s">
        <v>532</v>
      </c>
    </row>
    <row r="38" spans="1:11" ht="27.6">
      <c r="A38" s="2" t="s">
        <v>438</v>
      </c>
      <c r="B38" s="2" t="s">
        <v>439</v>
      </c>
      <c r="C38" s="2" t="s">
        <v>117</v>
      </c>
      <c r="D38" s="2" t="s">
        <v>147</v>
      </c>
      <c r="E38" s="2" t="s">
        <v>148</v>
      </c>
      <c r="F38" s="2" t="s">
        <v>73</v>
      </c>
      <c r="G38" s="2"/>
      <c r="H38" s="2"/>
      <c r="I38" s="2"/>
      <c r="J38" s="2"/>
      <c r="K38" s="2" t="s">
        <v>532</v>
      </c>
    </row>
    <row r="39" spans="1:11" ht="27.6">
      <c r="A39" s="2" t="s">
        <v>404</v>
      </c>
      <c r="B39" s="2" t="s">
        <v>519</v>
      </c>
      <c r="C39" s="2" t="s">
        <v>117</v>
      </c>
      <c r="D39" s="2" t="s">
        <v>401</v>
      </c>
      <c r="E39" s="2" t="s">
        <v>402</v>
      </c>
      <c r="F39" s="2" t="s">
        <v>79</v>
      </c>
      <c r="G39" s="2"/>
      <c r="H39" s="2"/>
      <c r="I39" s="2"/>
      <c r="J39" s="2"/>
      <c r="K39" s="2" t="s">
        <v>532</v>
      </c>
    </row>
    <row r="40" spans="1:11" ht="27.6">
      <c r="A40" s="2" t="s">
        <v>424</v>
      </c>
      <c r="B40" s="2" t="s">
        <v>425</v>
      </c>
      <c r="C40" s="2" t="s">
        <v>117</v>
      </c>
      <c r="D40" s="2" t="s">
        <v>115</v>
      </c>
      <c r="E40" s="2" t="s">
        <v>116</v>
      </c>
      <c r="F40" s="2" t="s">
        <v>70</v>
      </c>
      <c r="G40" s="2"/>
      <c r="H40" s="2"/>
      <c r="I40" s="2"/>
      <c r="J40" s="2"/>
      <c r="K40" s="2" t="s">
        <v>532</v>
      </c>
    </row>
    <row r="41" spans="1:11" ht="41.4">
      <c r="A41" s="2" t="s">
        <v>368</v>
      </c>
      <c r="B41" s="2" t="s">
        <v>512</v>
      </c>
      <c r="C41" s="2" t="s">
        <v>117</v>
      </c>
      <c r="D41" s="2" t="s">
        <v>365</v>
      </c>
      <c r="E41" s="2" t="s">
        <v>366</v>
      </c>
      <c r="F41" s="2" t="s">
        <v>82</v>
      </c>
      <c r="G41" s="2"/>
      <c r="H41" s="2"/>
      <c r="I41" s="2"/>
      <c r="J41" s="2"/>
      <c r="K41" s="2" t="s">
        <v>532</v>
      </c>
    </row>
    <row r="42" spans="1:11" ht="41.4">
      <c r="A42" s="2" t="s">
        <v>489</v>
      </c>
      <c r="B42" s="2" t="s">
        <v>490</v>
      </c>
      <c r="C42" s="2" t="s">
        <v>117</v>
      </c>
      <c r="D42" s="2" t="s">
        <v>272</v>
      </c>
      <c r="E42" s="2" t="s">
        <v>273</v>
      </c>
      <c r="F42" s="2" t="s">
        <v>79</v>
      </c>
      <c r="G42" s="2"/>
      <c r="H42" s="2"/>
      <c r="I42" s="2"/>
      <c r="J42" s="2"/>
      <c r="K42" s="2" t="s">
        <v>532</v>
      </c>
    </row>
    <row r="43" spans="1:11" ht="27.6">
      <c r="A43" s="2" t="s">
        <v>282</v>
      </c>
      <c r="B43" s="2" t="s">
        <v>491</v>
      </c>
      <c r="C43" s="2" t="s">
        <v>130</v>
      </c>
      <c r="D43" s="2" t="s">
        <v>279</v>
      </c>
      <c r="E43" s="2" t="s">
        <v>280</v>
      </c>
      <c r="F43" s="2" t="s">
        <v>70</v>
      </c>
      <c r="G43" s="2"/>
      <c r="H43" s="2"/>
      <c r="I43" s="2"/>
      <c r="J43" s="2"/>
      <c r="K43" s="2" t="s">
        <v>532</v>
      </c>
    </row>
    <row r="44" spans="1:11" ht="27.6">
      <c r="A44" s="2" t="s">
        <v>332</v>
      </c>
      <c r="B44" s="2" t="s">
        <v>502</v>
      </c>
      <c r="C44" s="2" t="s">
        <v>108</v>
      </c>
      <c r="D44" s="2" t="s">
        <v>329</v>
      </c>
      <c r="E44" s="2" t="s">
        <v>330</v>
      </c>
      <c r="F44" s="2" t="s">
        <v>70</v>
      </c>
      <c r="G44" s="2"/>
      <c r="H44" s="2"/>
      <c r="I44" s="2"/>
      <c r="J44" s="2"/>
      <c r="K44" s="2" t="s">
        <v>532</v>
      </c>
    </row>
    <row r="45" spans="1:11" ht="27.6">
      <c r="A45" s="2" t="s">
        <v>286</v>
      </c>
      <c r="B45" s="2" t="s">
        <v>492</v>
      </c>
      <c r="C45" s="2" t="s">
        <v>130</v>
      </c>
      <c r="D45" s="2" t="s">
        <v>59</v>
      </c>
      <c r="E45" s="2" t="s">
        <v>284</v>
      </c>
      <c r="F45" s="2" t="s">
        <v>70</v>
      </c>
      <c r="G45" s="2"/>
      <c r="H45" s="2"/>
      <c r="I45" s="2"/>
      <c r="J45" s="2"/>
      <c r="K45" s="2" t="s">
        <v>532</v>
      </c>
    </row>
    <row r="46" spans="1:11" ht="27.6">
      <c r="A46" s="2" t="s">
        <v>440</v>
      </c>
      <c r="B46" s="2" t="s">
        <v>441</v>
      </c>
      <c r="C46" s="2" t="s">
        <v>117</v>
      </c>
      <c r="D46" s="2" t="s">
        <v>147</v>
      </c>
      <c r="E46" s="2" t="s">
        <v>148</v>
      </c>
      <c r="F46" s="2" t="s">
        <v>73</v>
      </c>
      <c r="G46" s="2"/>
      <c r="H46" s="2"/>
      <c r="I46" s="2"/>
      <c r="J46" s="2"/>
      <c r="K46" s="2" t="s">
        <v>532</v>
      </c>
    </row>
    <row r="47" spans="1:11" ht="27.6">
      <c r="A47" s="2" t="s">
        <v>358</v>
      </c>
      <c r="B47" s="2" t="s">
        <v>510</v>
      </c>
      <c r="C47" s="2" t="s">
        <v>130</v>
      </c>
      <c r="D47" s="2" t="s">
        <v>355</v>
      </c>
      <c r="E47" s="2" t="s">
        <v>356</v>
      </c>
      <c r="F47" s="2" t="s">
        <v>91</v>
      </c>
      <c r="G47" s="2"/>
      <c r="H47" s="2"/>
      <c r="I47" s="2"/>
      <c r="J47" s="2"/>
      <c r="K47" s="2" t="s">
        <v>532</v>
      </c>
    </row>
    <row r="48" spans="1:11" ht="27.6">
      <c r="A48" s="2" t="s">
        <v>290</v>
      </c>
      <c r="B48" s="2" t="s">
        <v>493</v>
      </c>
      <c r="C48" s="2" t="s">
        <v>117</v>
      </c>
      <c r="D48" s="2" t="s">
        <v>287</v>
      </c>
      <c r="E48" s="2" t="s">
        <v>288</v>
      </c>
      <c r="F48" s="2" t="s">
        <v>79</v>
      </c>
      <c r="G48" s="2"/>
      <c r="H48" s="2"/>
      <c r="I48" s="2"/>
      <c r="J48" s="2"/>
      <c r="K48" s="2" t="s">
        <v>532</v>
      </c>
    </row>
    <row r="49" spans="1:11" ht="27.6">
      <c r="A49" s="2" t="s">
        <v>296</v>
      </c>
      <c r="B49" s="2" t="s">
        <v>494</v>
      </c>
      <c r="C49" s="2" t="s">
        <v>130</v>
      </c>
      <c r="D49" s="2" t="s">
        <v>293</v>
      </c>
      <c r="E49" s="2" t="s">
        <v>294</v>
      </c>
      <c r="F49" s="2" t="s">
        <v>88</v>
      </c>
      <c r="G49" s="2"/>
      <c r="H49" s="2"/>
      <c r="I49" s="2"/>
      <c r="J49" s="2"/>
      <c r="K49" s="2" t="s">
        <v>532</v>
      </c>
    </row>
    <row r="50" spans="1:11" ht="41.4">
      <c r="A50" s="2" t="s">
        <v>156</v>
      </c>
      <c r="B50" s="2" t="s">
        <v>444</v>
      </c>
      <c r="C50" s="2" t="s">
        <v>130</v>
      </c>
      <c r="D50" s="2" t="s">
        <v>153</v>
      </c>
      <c r="E50" s="2" t="s">
        <v>154</v>
      </c>
      <c r="F50" s="2" t="s">
        <v>73</v>
      </c>
      <c r="G50" s="2"/>
      <c r="H50" s="2"/>
      <c r="I50" s="2"/>
      <c r="J50" s="2"/>
      <c r="K50" s="2" t="s">
        <v>532</v>
      </c>
    </row>
    <row r="51" spans="1:11" ht="27.6">
      <c r="A51" s="2" t="s">
        <v>505</v>
      </c>
      <c r="B51" s="2" t="s">
        <v>506</v>
      </c>
      <c r="C51" s="2" t="s">
        <v>130</v>
      </c>
      <c r="D51" s="2" t="s">
        <v>344</v>
      </c>
      <c r="E51" s="2" t="s">
        <v>345</v>
      </c>
      <c r="F51" s="2" t="s">
        <v>76</v>
      </c>
      <c r="G51" s="2"/>
      <c r="H51" s="2"/>
      <c r="I51" s="2"/>
      <c r="J51" s="2"/>
      <c r="K51" s="2" t="s">
        <v>532</v>
      </c>
    </row>
    <row r="52" spans="1:11" ht="41.4">
      <c r="A52" s="2" t="s">
        <v>300</v>
      </c>
      <c r="B52" s="2" t="s">
        <v>495</v>
      </c>
      <c r="C52" s="2" t="s">
        <v>108</v>
      </c>
      <c r="D52" s="2" t="s">
        <v>297</v>
      </c>
      <c r="E52" s="2" t="s">
        <v>298</v>
      </c>
      <c r="F52" s="2" t="s">
        <v>88</v>
      </c>
      <c r="G52" s="2"/>
      <c r="H52" s="2"/>
      <c r="I52" s="2"/>
      <c r="J52" s="2"/>
      <c r="K52" s="2" t="s">
        <v>532</v>
      </c>
    </row>
    <row r="53" spans="1:11" ht="27.6">
      <c r="A53" s="2" t="s">
        <v>393</v>
      </c>
      <c r="B53" s="2" t="s">
        <v>517</v>
      </c>
      <c r="C53" s="2" t="s">
        <v>130</v>
      </c>
      <c r="D53" s="2" t="s">
        <v>390</v>
      </c>
      <c r="E53" s="2" t="s">
        <v>391</v>
      </c>
      <c r="F53" s="2" t="s">
        <v>91</v>
      </c>
      <c r="G53" s="2"/>
      <c r="H53" s="2"/>
      <c r="I53" s="2"/>
      <c r="J53" s="2"/>
      <c r="K53" s="2" t="s">
        <v>532</v>
      </c>
    </row>
    <row r="54" spans="1:11" ht="27.6">
      <c r="A54" s="2" t="s">
        <v>481</v>
      </c>
      <c r="B54" s="2" t="s">
        <v>482</v>
      </c>
      <c r="C54" s="2" t="s">
        <v>130</v>
      </c>
      <c r="D54" s="2" t="s">
        <v>262</v>
      </c>
      <c r="E54" s="2" t="s">
        <v>263</v>
      </c>
      <c r="F54" s="2" t="s">
        <v>88</v>
      </c>
      <c r="G54" s="2"/>
      <c r="H54" s="2"/>
      <c r="I54" s="2"/>
      <c r="J54" s="2"/>
      <c r="K54" s="2" t="s">
        <v>532</v>
      </c>
    </row>
    <row r="55" spans="1:11" ht="27.6">
      <c r="A55" s="2" t="s">
        <v>485</v>
      </c>
      <c r="B55" s="2" t="s">
        <v>486</v>
      </c>
      <c r="C55" s="2" t="s">
        <v>117</v>
      </c>
      <c r="D55" s="2" t="s">
        <v>266</v>
      </c>
      <c r="E55" s="2" t="s">
        <v>267</v>
      </c>
      <c r="F55" s="2" t="s">
        <v>82</v>
      </c>
      <c r="G55" s="2"/>
      <c r="H55" s="2"/>
      <c r="I55" s="2"/>
      <c r="J55" s="2"/>
      <c r="K55" s="2" t="s">
        <v>532</v>
      </c>
    </row>
    <row r="56" spans="1:11" ht="41.4">
      <c r="A56" s="2" t="s">
        <v>398</v>
      </c>
      <c r="B56" s="2" t="s">
        <v>518</v>
      </c>
      <c r="C56" s="2" t="s">
        <v>130</v>
      </c>
      <c r="D56" s="2" t="s">
        <v>395</v>
      </c>
      <c r="E56" s="2" t="s">
        <v>396</v>
      </c>
      <c r="F56" s="2" t="s">
        <v>76</v>
      </c>
      <c r="G56" s="2"/>
      <c r="H56" s="2"/>
      <c r="I56" s="2"/>
      <c r="J56" s="2"/>
      <c r="K56" s="2" t="s">
        <v>532</v>
      </c>
    </row>
    <row r="57" spans="1:11" ht="27.6">
      <c r="A57" s="2" t="s">
        <v>307</v>
      </c>
      <c r="B57" s="2" t="s">
        <v>497</v>
      </c>
      <c r="C57" s="2" t="s">
        <v>130</v>
      </c>
      <c r="D57" s="2" t="s">
        <v>304</v>
      </c>
      <c r="E57" s="2" t="s">
        <v>305</v>
      </c>
      <c r="F57" s="2" t="s">
        <v>79</v>
      </c>
      <c r="G57" s="2"/>
      <c r="H57" s="2"/>
      <c r="I57" s="2"/>
      <c r="J57" s="2"/>
      <c r="K57" s="2" t="s">
        <v>532</v>
      </c>
    </row>
    <row r="58" spans="1:11" ht="27.6">
      <c r="A58" s="2" t="s">
        <v>477</v>
      </c>
      <c r="B58" s="2" t="s">
        <v>478</v>
      </c>
      <c r="C58" s="2" t="s">
        <v>117</v>
      </c>
      <c r="D58" s="2" t="s">
        <v>256</v>
      </c>
      <c r="E58" s="2" t="s">
        <v>257</v>
      </c>
      <c r="F58" s="2" t="s">
        <v>73</v>
      </c>
      <c r="G58" s="2"/>
      <c r="H58" s="2"/>
      <c r="I58" s="2"/>
      <c r="J58" s="2"/>
      <c r="K58" s="2" t="s">
        <v>532</v>
      </c>
    </row>
    <row r="59" spans="1:11" ht="27.6">
      <c r="A59" s="2" t="s">
        <v>313</v>
      </c>
      <c r="B59" s="2" t="s">
        <v>498</v>
      </c>
      <c r="C59" s="2" t="s">
        <v>117</v>
      </c>
      <c r="D59" s="2" t="s">
        <v>310</v>
      </c>
      <c r="E59" s="2" t="s">
        <v>311</v>
      </c>
      <c r="F59" s="2" t="s">
        <v>73</v>
      </c>
      <c r="G59" s="2"/>
      <c r="H59" s="2"/>
      <c r="I59" s="2"/>
      <c r="J59" s="2"/>
      <c r="K59" s="2" t="s">
        <v>532</v>
      </c>
    </row>
    <row r="60" spans="1:11" ht="27.6">
      <c r="A60" s="2" t="s">
        <v>318</v>
      </c>
      <c r="B60" s="2" t="s">
        <v>499</v>
      </c>
      <c r="C60" s="2" t="s">
        <v>130</v>
      </c>
      <c r="D60" s="2" t="s">
        <v>315</v>
      </c>
      <c r="E60" s="2" t="s">
        <v>316</v>
      </c>
      <c r="F60" s="2" t="s">
        <v>88</v>
      </c>
      <c r="G60" s="2"/>
      <c r="H60" s="2"/>
      <c r="I60" s="2"/>
      <c r="J60" s="2"/>
      <c r="K60" s="2" t="s">
        <v>532</v>
      </c>
    </row>
    <row r="61" spans="1:11" ht="27.6">
      <c r="A61" s="2" t="s">
        <v>337</v>
      </c>
      <c r="B61" s="2" t="s">
        <v>503</v>
      </c>
      <c r="C61" s="2" t="s">
        <v>117</v>
      </c>
      <c r="D61" s="2" t="s">
        <v>334</v>
      </c>
      <c r="E61" s="2" t="s">
        <v>335</v>
      </c>
      <c r="F61" s="2" t="s">
        <v>73</v>
      </c>
      <c r="G61" s="2"/>
      <c r="H61" s="2"/>
      <c r="I61" s="2"/>
      <c r="J61" s="2"/>
      <c r="K61" s="2" t="s">
        <v>532</v>
      </c>
    </row>
    <row r="62" spans="1:11" ht="27.6">
      <c r="A62" s="2" t="s">
        <v>426</v>
      </c>
      <c r="B62" s="2" t="s">
        <v>427</v>
      </c>
      <c r="C62" s="2" t="s">
        <v>117</v>
      </c>
      <c r="D62" s="2" t="s">
        <v>115</v>
      </c>
      <c r="E62" s="2" t="s">
        <v>116</v>
      </c>
      <c r="F62" s="2" t="s">
        <v>70</v>
      </c>
      <c r="G62" s="2" t="s">
        <v>123</v>
      </c>
      <c r="H62" s="2" t="s">
        <v>124</v>
      </c>
      <c r="I62" s="2" t="s">
        <v>70</v>
      </c>
      <c r="J62" s="2" t="s">
        <v>533</v>
      </c>
      <c r="K62" s="2" t="s">
        <v>534</v>
      </c>
    </row>
    <row r="63" spans="1:11" ht="27.6">
      <c r="A63" s="2" t="s">
        <v>303</v>
      </c>
      <c r="B63" s="2" t="s">
        <v>496</v>
      </c>
      <c r="C63" s="2" t="s">
        <v>130</v>
      </c>
      <c r="D63" s="2" t="s">
        <v>62</v>
      </c>
      <c r="E63" s="2" t="s">
        <v>301</v>
      </c>
      <c r="F63" s="2" t="s">
        <v>76</v>
      </c>
      <c r="G63" s="2"/>
      <c r="H63" s="2"/>
      <c r="I63" s="2"/>
      <c r="J63" s="2"/>
      <c r="K63" s="2" t="s">
        <v>532</v>
      </c>
    </row>
    <row r="64" spans="1:11" ht="27.6">
      <c r="A64" s="2" t="s">
        <v>472</v>
      </c>
      <c r="B64" s="2" t="s">
        <v>473</v>
      </c>
      <c r="C64" s="2" t="s">
        <v>130</v>
      </c>
      <c r="D64" s="2" t="s">
        <v>243</v>
      </c>
      <c r="E64" s="2" t="s">
        <v>244</v>
      </c>
      <c r="F64" s="2" t="s">
        <v>82</v>
      </c>
      <c r="G64" s="2"/>
      <c r="H64" s="2"/>
      <c r="I64" s="2"/>
      <c r="J64" s="2"/>
      <c r="K64" s="2" t="s">
        <v>532</v>
      </c>
    </row>
    <row r="65" spans="1:11" ht="27.6">
      <c r="A65" s="2" t="s">
        <v>322</v>
      </c>
      <c r="B65" s="2" t="s">
        <v>500</v>
      </c>
      <c r="C65" s="2" t="s">
        <v>117</v>
      </c>
      <c r="D65" s="2" t="s">
        <v>319</v>
      </c>
      <c r="E65" s="2" t="s">
        <v>320</v>
      </c>
      <c r="F65" s="2" t="s">
        <v>85</v>
      </c>
      <c r="G65" s="2"/>
      <c r="H65" s="2"/>
      <c r="I65" s="2"/>
      <c r="J65" s="2"/>
      <c r="K65" s="2" t="s">
        <v>532</v>
      </c>
    </row>
    <row r="66" spans="1:11" ht="27.6">
      <c r="A66" s="2" t="s">
        <v>362</v>
      </c>
      <c r="B66" s="2" t="s">
        <v>511</v>
      </c>
      <c r="C66" s="2" t="s">
        <v>117</v>
      </c>
      <c r="D66" s="2" t="s">
        <v>359</v>
      </c>
      <c r="E66" s="2" t="s">
        <v>360</v>
      </c>
      <c r="F66" s="2" t="s">
        <v>79</v>
      </c>
      <c r="G66" s="2"/>
      <c r="H66" s="2"/>
      <c r="I66" s="2"/>
      <c r="J66" s="2"/>
      <c r="K66" s="2" t="s">
        <v>532</v>
      </c>
    </row>
    <row r="67" spans="1:11" ht="27.6">
      <c r="A67" s="2" t="s">
        <v>442</v>
      </c>
      <c r="B67" s="2" t="s">
        <v>443</v>
      </c>
      <c r="C67" s="2" t="s">
        <v>117</v>
      </c>
      <c r="D67" s="2" t="s">
        <v>147</v>
      </c>
      <c r="E67" s="2" t="s">
        <v>148</v>
      </c>
      <c r="F67" s="2" t="s">
        <v>73</v>
      </c>
      <c r="G67" s="2"/>
      <c r="H67" s="2"/>
      <c r="I67" s="2"/>
      <c r="J67" s="2"/>
      <c r="K67" s="2" t="s">
        <v>532</v>
      </c>
    </row>
    <row r="68" spans="1:11" ht="27.6">
      <c r="A68" s="2" t="s">
        <v>467</v>
      </c>
      <c r="B68" s="2" t="s">
        <v>468</v>
      </c>
      <c r="C68" s="2" t="s">
        <v>117</v>
      </c>
      <c r="D68" s="2" t="s">
        <v>231</v>
      </c>
      <c r="E68" s="2" t="s">
        <v>232</v>
      </c>
      <c r="F68" s="2" t="s">
        <v>85</v>
      </c>
      <c r="G68" s="2"/>
      <c r="H68" s="2"/>
      <c r="I68" s="2"/>
      <c r="J68" s="2"/>
      <c r="K68" s="2" t="s">
        <v>532</v>
      </c>
    </row>
    <row r="69" spans="1:11" ht="27.6">
      <c r="A69" s="2" t="s">
        <v>410</v>
      </c>
      <c r="B69" s="2" t="s">
        <v>520</v>
      </c>
      <c r="C69" s="2" t="s">
        <v>130</v>
      </c>
      <c r="D69" s="2" t="s">
        <v>407</v>
      </c>
      <c r="E69" s="2" t="s">
        <v>408</v>
      </c>
      <c r="F69" s="2" t="s">
        <v>76</v>
      </c>
      <c r="G69" s="2"/>
      <c r="H69" s="2"/>
      <c r="I69" s="2"/>
      <c r="J69" s="2"/>
      <c r="K69" s="2" t="s">
        <v>532</v>
      </c>
    </row>
    <row r="70" spans="1:11" ht="27.6">
      <c r="A70" s="2" t="s">
        <v>253</v>
      </c>
      <c r="B70" s="2" t="s">
        <v>474</v>
      </c>
      <c r="C70" s="2" t="s">
        <v>130</v>
      </c>
      <c r="D70" s="2" t="s">
        <v>250</v>
      </c>
      <c r="E70" s="2" t="s">
        <v>251</v>
      </c>
      <c r="F70" s="2" t="s">
        <v>82</v>
      </c>
      <c r="G70" s="2"/>
      <c r="H70" s="2"/>
      <c r="I70" s="2"/>
      <c r="J70" s="2"/>
      <c r="K70" s="2" t="s">
        <v>532</v>
      </c>
    </row>
    <row r="71" spans="1:11" ht="27.6">
      <c r="A71" s="2" t="s">
        <v>328</v>
      </c>
      <c r="B71" s="2" t="s">
        <v>501</v>
      </c>
      <c r="C71" s="2" t="s">
        <v>117</v>
      </c>
      <c r="D71" s="2" t="s">
        <v>325</v>
      </c>
      <c r="E71" s="2" t="s">
        <v>326</v>
      </c>
      <c r="F71" s="2" t="s">
        <v>88</v>
      </c>
      <c r="G71" s="2"/>
      <c r="H71" s="2"/>
      <c r="I71" s="2"/>
      <c r="J71" s="2"/>
      <c r="K71" s="2" t="s">
        <v>532</v>
      </c>
    </row>
    <row r="72" spans="1:11" ht="27.6">
      <c r="A72" s="2" t="s">
        <v>377</v>
      </c>
      <c r="B72" s="2" t="s">
        <v>514</v>
      </c>
      <c r="C72" s="2" t="s">
        <v>117</v>
      </c>
      <c r="D72" s="2" t="s">
        <v>374</v>
      </c>
      <c r="E72" s="2" t="s">
        <v>375</v>
      </c>
      <c r="F72" s="2" t="s">
        <v>79</v>
      </c>
      <c r="G72" s="2"/>
      <c r="H72" s="2"/>
      <c r="I72" s="2"/>
      <c r="J72" s="2"/>
      <c r="K72" s="2" t="s">
        <v>532</v>
      </c>
    </row>
    <row r="73" spans="1:11" ht="27.6">
      <c r="A73" s="2" t="s">
        <v>507</v>
      </c>
      <c r="B73" s="2" t="s">
        <v>508</v>
      </c>
      <c r="C73" s="2" t="s">
        <v>130</v>
      </c>
      <c r="D73" s="2" t="s">
        <v>344</v>
      </c>
      <c r="E73" s="2" t="s">
        <v>345</v>
      </c>
      <c r="F73" s="2" t="s">
        <v>76</v>
      </c>
      <c r="G73" s="2"/>
      <c r="H73" s="2"/>
      <c r="I73" s="2"/>
      <c r="J73" s="2"/>
      <c r="K73" s="2" t="s">
        <v>532</v>
      </c>
    </row>
    <row r="74" spans="1:11" ht="27.6">
      <c r="A74" s="2" t="s">
        <v>449</v>
      </c>
      <c r="B74" s="2" t="s">
        <v>450</v>
      </c>
      <c r="C74" s="2" t="s">
        <v>130</v>
      </c>
      <c r="D74" s="2" t="s">
        <v>168</v>
      </c>
      <c r="E74" s="2" t="s">
        <v>169</v>
      </c>
      <c r="F74" s="2" t="s">
        <v>76</v>
      </c>
      <c r="G74" s="2"/>
      <c r="H74" s="2"/>
      <c r="I74" s="2"/>
      <c r="J74" s="2"/>
      <c r="K74" s="2" t="s">
        <v>532</v>
      </c>
    </row>
    <row r="75" spans="1:11" ht="27.6">
      <c r="A75" s="2" t="s">
        <v>372</v>
      </c>
      <c r="B75" s="2" t="s">
        <v>513</v>
      </c>
      <c r="C75" s="2" t="s">
        <v>117</v>
      </c>
      <c r="D75" s="2" t="s">
        <v>369</v>
      </c>
      <c r="E75" s="2" t="s">
        <v>370</v>
      </c>
      <c r="F75" s="2" t="s">
        <v>73</v>
      </c>
      <c r="G75" s="2"/>
      <c r="H75" s="2"/>
      <c r="I75" s="2"/>
      <c r="J75" s="2"/>
      <c r="K75" s="2" t="s">
        <v>532</v>
      </c>
    </row>
  </sheetData>
  <mergeCells count="2">
    <mergeCell ref="A1:K1"/>
    <mergeCell ref="A2:K2"/>
  </mergeCells>
  <conditionalFormatting sqref="K5:K75">
    <cfRule type="expression" dxfId="2" priority="1">
      <formula>K5="Coberto"</formula>
    </cfRule>
    <cfRule type="expression" dxfId="1" priority="2">
      <formula>K5="Cobertura múltipla justificada"</formula>
    </cfRule>
    <cfRule type="expression" dxfId="0" priority="3">
      <formula>K5="Sem cobertura"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topLeftCell="A31" workbookViewId="0">
      <selection sqref="A1:E1"/>
    </sheetView>
  </sheetViews>
  <sheetFormatPr defaultRowHeight="13.8"/>
  <cols>
    <col min="1" max="1" width="9" customWidth="1"/>
    <col min="2" max="2" width="36" customWidth="1"/>
    <col min="3" max="3" width="12" customWidth="1"/>
    <col min="4" max="4" width="36" customWidth="1"/>
    <col min="5" max="5" width="76" customWidth="1"/>
  </cols>
  <sheetData>
    <row r="1" spans="1:5" ht="22.35" customHeight="1">
      <c r="A1" s="8" t="s">
        <v>535</v>
      </c>
      <c r="B1" s="8"/>
      <c r="C1" s="8"/>
      <c r="D1" s="8"/>
      <c r="E1" s="8"/>
    </row>
    <row r="2" spans="1:5" ht="27.15" customHeight="1">
      <c r="A2" s="9" t="s">
        <v>536</v>
      </c>
      <c r="B2" s="9"/>
      <c r="C2" s="9"/>
      <c r="D2" s="9"/>
      <c r="E2" s="9"/>
    </row>
    <row r="4" spans="1:5" ht="24" customHeight="1">
      <c r="A4" s="1" t="s">
        <v>96</v>
      </c>
      <c r="B4" s="1" t="s">
        <v>97</v>
      </c>
      <c r="C4" s="1" t="s">
        <v>537</v>
      </c>
      <c r="D4" s="1" t="s">
        <v>538</v>
      </c>
      <c r="E4" s="1" t="s">
        <v>539</v>
      </c>
    </row>
    <row r="5" spans="1:5">
      <c r="A5" s="2" t="s">
        <v>115</v>
      </c>
      <c r="B5" s="2" t="s">
        <v>116</v>
      </c>
      <c r="C5" s="2" t="s">
        <v>106</v>
      </c>
      <c r="D5" s="2" t="s">
        <v>107</v>
      </c>
      <c r="E5" s="2" t="s">
        <v>540</v>
      </c>
    </row>
    <row r="6" spans="1:5">
      <c r="A6" s="2" t="s">
        <v>123</v>
      </c>
      <c r="B6" s="2" t="s">
        <v>124</v>
      </c>
      <c r="C6" s="2" t="s">
        <v>106</v>
      </c>
      <c r="D6" s="2" t="s">
        <v>107</v>
      </c>
      <c r="E6" s="2" t="s">
        <v>541</v>
      </c>
    </row>
    <row r="7" spans="1:5">
      <c r="A7" s="2" t="s">
        <v>123</v>
      </c>
      <c r="B7" s="2" t="s">
        <v>124</v>
      </c>
      <c r="C7" s="2" t="s">
        <v>115</v>
      </c>
      <c r="D7" s="2" t="s">
        <v>116</v>
      </c>
      <c r="E7" s="2" t="s">
        <v>542</v>
      </c>
    </row>
    <row r="8" spans="1:5">
      <c r="A8" s="2" t="s">
        <v>128</v>
      </c>
      <c r="B8" s="2" t="s">
        <v>129</v>
      </c>
      <c r="C8" s="2" t="s">
        <v>106</v>
      </c>
      <c r="D8" s="2" t="s">
        <v>107</v>
      </c>
      <c r="E8" s="2" t="s">
        <v>543</v>
      </c>
    </row>
    <row r="9" spans="1:5">
      <c r="A9" s="2" t="s">
        <v>140</v>
      </c>
      <c r="B9" s="2" t="s">
        <v>141</v>
      </c>
      <c r="C9" s="2" t="s">
        <v>106</v>
      </c>
      <c r="D9" s="2" t="s">
        <v>107</v>
      </c>
      <c r="E9" s="2" t="s">
        <v>544</v>
      </c>
    </row>
    <row r="10" spans="1:5">
      <c r="A10" s="2" t="s">
        <v>140</v>
      </c>
      <c r="B10" s="2" t="s">
        <v>141</v>
      </c>
      <c r="C10" s="2" t="s">
        <v>135</v>
      </c>
      <c r="D10" s="2" t="s">
        <v>136</v>
      </c>
      <c r="E10" s="2" t="s">
        <v>545</v>
      </c>
    </row>
    <row r="11" spans="1:5" ht="27.6">
      <c r="A11" s="2" t="s">
        <v>147</v>
      </c>
      <c r="B11" s="2" t="s">
        <v>148</v>
      </c>
      <c r="C11" s="2" t="s">
        <v>140</v>
      </c>
      <c r="D11" s="2" t="s">
        <v>141</v>
      </c>
      <c r="E11" s="2" t="s">
        <v>546</v>
      </c>
    </row>
    <row r="12" spans="1:5">
      <c r="A12" s="2" t="s">
        <v>153</v>
      </c>
      <c r="B12" s="2" t="s">
        <v>154</v>
      </c>
      <c r="C12" s="2" t="s">
        <v>106</v>
      </c>
      <c r="D12" s="2" t="s">
        <v>107</v>
      </c>
      <c r="E12" s="2" t="s">
        <v>547</v>
      </c>
    </row>
    <row r="13" spans="1:5">
      <c r="A13" s="2" t="s">
        <v>153</v>
      </c>
      <c r="B13" s="2" t="s">
        <v>154</v>
      </c>
      <c r="C13" s="2" t="s">
        <v>135</v>
      </c>
      <c r="D13" s="2" t="s">
        <v>136</v>
      </c>
      <c r="E13" s="2" t="s">
        <v>548</v>
      </c>
    </row>
    <row r="14" spans="1:5">
      <c r="A14" s="2" t="s">
        <v>164</v>
      </c>
      <c r="B14" s="2" t="s">
        <v>165</v>
      </c>
      <c r="C14" s="2" t="s">
        <v>41</v>
      </c>
      <c r="D14" s="2" t="s">
        <v>159</v>
      </c>
      <c r="E14" s="2" t="s">
        <v>549</v>
      </c>
    </row>
    <row r="15" spans="1:5">
      <c r="A15" s="2" t="s">
        <v>168</v>
      </c>
      <c r="B15" s="2" t="s">
        <v>169</v>
      </c>
      <c r="C15" s="2" t="s">
        <v>106</v>
      </c>
      <c r="D15" s="2" t="s">
        <v>107</v>
      </c>
      <c r="E15" s="2" t="s">
        <v>550</v>
      </c>
    </row>
    <row r="16" spans="1:5" ht="27.6">
      <c r="A16" s="2" t="s">
        <v>168</v>
      </c>
      <c r="B16" s="2" t="s">
        <v>169</v>
      </c>
      <c r="C16" s="2" t="s">
        <v>115</v>
      </c>
      <c r="D16" s="2" t="s">
        <v>116</v>
      </c>
      <c r="E16" s="2" t="s">
        <v>551</v>
      </c>
    </row>
    <row r="17" spans="1:5">
      <c r="A17" s="2" t="s">
        <v>174</v>
      </c>
      <c r="B17" s="2" t="s">
        <v>175</v>
      </c>
      <c r="C17" s="2" t="s">
        <v>106</v>
      </c>
      <c r="D17" s="2" t="s">
        <v>107</v>
      </c>
      <c r="E17" s="2" t="s">
        <v>552</v>
      </c>
    </row>
    <row r="18" spans="1:5">
      <c r="A18" s="2" t="s">
        <v>174</v>
      </c>
      <c r="B18" s="2" t="s">
        <v>175</v>
      </c>
      <c r="C18" s="2" t="s">
        <v>135</v>
      </c>
      <c r="D18" s="2" t="s">
        <v>136</v>
      </c>
      <c r="E18" s="2" t="s">
        <v>553</v>
      </c>
    </row>
    <row r="19" spans="1:5">
      <c r="A19" s="2" t="s">
        <v>47</v>
      </c>
      <c r="B19" s="2" t="s">
        <v>178</v>
      </c>
      <c r="C19" s="2" t="s">
        <v>106</v>
      </c>
      <c r="D19" s="2" t="s">
        <v>107</v>
      </c>
      <c r="E19" s="2" t="s">
        <v>554</v>
      </c>
    </row>
    <row r="20" spans="1:5">
      <c r="A20" s="2" t="s">
        <v>181</v>
      </c>
      <c r="B20" s="2" t="s">
        <v>182</v>
      </c>
      <c r="C20" s="2" t="s">
        <v>106</v>
      </c>
      <c r="D20" s="2" t="s">
        <v>107</v>
      </c>
      <c r="E20" s="2" t="s">
        <v>555</v>
      </c>
    </row>
    <row r="21" spans="1:5">
      <c r="A21" s="2" t="s">
        <v>181</v>
      </c>
      <c r="B21" s="2" t="s">
        <v>182</v>
      </c>
      <c r="C21" s="2" t="s">
        <v>41</v>
      </c>
      <c r="D21" s="2" t="s">
        <v>159</v>
      </c>
      <c r="E21" s="2" t="s">
        <v>556</v>
      </c>
    </row>
    <row r="22" spans="1:5">
      <c r="A22" s="2" t="s">
        <v>50</v>
      </c>
      <c r="B22" s="2" t="s">
        <v>187</v>
      </c>
      <c r="C22" s="2" t="s">
        <v>106</v>
      </c>
      <c r="D22" s="2" t="s">
        <v>107</v>
      </c>
      <c r="E22" s="2" t="s">
        <v>557</v>
      </c>
    </row>
    <row r="23" spans="1:5">
      <c r="A23" s="2" t="s">
        <v>53</v>
      </c>
      <c r="B23" s="2" t="s">
        <v>206</v>
      </c>
      <c r="C23" s="2" t="s">
        <v>106</v>
      </c>
      <c r="D23" s="2" t="s">
        <v>107</v>
      </c>
      <c r="E23" s="2" t="s">
        <v>558</v>
      </c>
    </row>
    <row r="24" spans="1:5">
      <c r="A24" s="2" t="s">
        <v>209</v>
      </c>
      <c r="B24" s="2" t="s">
        <v>210</v>
      </c>
      <c r="C24" s="2" t="s">
        <v>106</v>
      </c>
      <c r="D24" s="2" t="s">
        <v>107</v>
      </c>
      <c r="E24" s="2" t="s">
        <v>559</v>
      </c>
    </row>
    <row r="25" spans="1:5">
      <c r="A25" s="2" t="s">
        <v>209</v>
      </c>
      <c r="B25" s="2" t="s">
        <v>210</v>
      </c>
      <c r="C25" s="2" t="s">
        <v>135</v>
      </c>
      <c r="D25" s="2" t="s">
        <v>136</v>
      </c>
      <c r="E25" s="2" t="s">
        <v>560</v>
      </c>
    </row>
    <row r="26" spans="1:5">
      <c r="A26" s="2" t="s">
        <v>215</v>
      </c>
      <c r="B26" s="2" t="s">
        <v>216</v>
      </c>
      <c r="C26" s="2" t="s">
        <v>106</v>
      </c>
      <c r="D26" s="2" t="s">
        <v>107</v>
      </c>
      <c r="E26" s="2" t="s">
        <v>561</v>
      </c>
    </row>
    <row r="27" spans="1:5" ht="27.6">
      <c r="A27" s="2" t="s">
        <v>215</v>
      </c>
      <c r="B27" s="2" t="s">
        <v>216</v>
      </c>
      <c r="C27" s="2" t="s">
        <v>199</v>
      </c>
      <c r="D27" s="2" t="s">
        <v>200</v>
      </c>
      <c r="E27" s="2" t="s">
        <v>562</v>
      </c>
    </row>
    <row r="28" spans="1:5">
      <c r="A28" s="2" t="s">
        <v>222</v>
      </c>
      <c r="B28" s="2" t="s">
        <v>223</v>
      </c>
      <c r="C28" s="2" t="s">
        <v>106</v>
      </c>
      <c r="D28" s="2" t="s">
        <v>107</v>
      </c>
      <c r="E28" s="2" t="s">
        <v>563</v>
      </c>
    </row>
    <row r="29" spans="1:5">
      <c r="A29" s="2" t="s">
        <v>222</v>
      </c>
      <c r="B29" s="2" t="s">
        <v>223</v>
      </c>
      <c r="C29" s="2" t="s">
        <v>199</v>
      </c>
      <c r="D29" s="2" t="s">
        <v>200</v>
      </c>
      <c r="E29" s="2" t="s">
        <v>564</v>
      </c>
    </row>
    <row r="30" spans="1:5">
      <c r="A30" s="2" t="s">
        <v>231</v>
      </c>
      <c r="B30" s="2" t="s">
        <v>232</v>
      </c>
      <c r="C30" s="2" t="s">
        <v>106</v>
      </c>
      <c r="D30" s="2" t="s">
        <v>107</v>
      </c>
      <c r="E30" s="2" t="s">
        <v>565</v>
      </c>
    </row>
    <row r="31" spans="1:5">
      <c r="A31" s="2" t="s">
        <v>237</v>
      </c>
      <c r="B31" s="2" t="s">
        <v>238</v>
      </c>
      <c r="C31" s="2" t="s">
        <v>106</v>
      </c>
      <c r="D31" s="2" t="s">
        <v>107</v>
      </c>
      <c r="E31" s="2" t="s">
        <v>566</v>
      </c>
    </row>
    <row r="32" spans="1:5">
      <c r="A32" s="2" t="s">
        <v>243</v>
      </c>
      <c r="B32" s="2" t="s">
        <v>244</v>
      </c>
      <c r="C32" s="2" t="s">
        <v>140</v>
      </c>
      <c r="D32" s="2" t="s">
        <v>141</v>
      </c>
      <c r="E32" s="2" t="s">
        <v>567</v>
      </c>
    </row>
    <row r="33" spans="1:5">
      <c r="A33" s="2" t="s">
        <v>256</v>
      </c>
      <c r="B33" s="2" t="s">
        <v>257</v>
      </c>
      <c r="C33" s="2" t="s">
        <v>106</v>
      </c>
      <c r="D33" s="2" t="s">
        <v>107</v>
      </c>
      <c r="E33" s="2" t="s">
        <v>568</v>
      </c>
    </row>
    <row r="34" spans="1:5">
      <c r="A34" s="2" t="s">
        <v>256</v>
      </c>
      <c r="B34" s="2" t="s">
        <v>257</v>
      </c>
      <c r="C34" s="2" t="s">
        <v>135</v>
      </c>
      <c r="D34" s="2" t="s">
        <v>136</v>
      </c>
      <c r="E34" s="2" t="s">
        <v>569</v>
      </c>
    </row>
    <row r="35" spans="1:5">
      <c r="A35" s="2" t="s">
        <v>272</v>
      </c>
      <c r="B35" s="2" t="s">
        <v>273</v>
      </c>
      <c r="C35" s="2" t="s">
        <v>106</v>
      </c>
      <c r="D35" s="2" t="s">
        <v>107</v>
      </c>
      <c r="E35" s="2" t="s">
        <v>570</v>
      </c>
    </row>
    <row r="36" spans="1:5">
      <c r="A36" s="2" t="s">
        <v>272</v>
      </c>
      <c r="B36" s="2" t="s">
        <v>273</v>
      </c>
      <c r="C36" s="2" t="s">
        <v>231</v>
      </c>
      <c r="D36" s="2" t="s">
        <v>232</v>
      </c>
      <c r="E36" s="2" t="s">
        <v>571</v>
      </c>
    </row>
    <row r="37" spans="1:5">
      <c r="A37" s="2" t="s">
        <v>279</v>
      </c>
      <c r="B37" s="2" t="s">
        <v>280</v>
      </c>
      <c r="C37" s="2" t="s">
        <v>106</v>
      </c>
      <c r="D37" s="2" t="s">
        <v>107</v>
      </c>
      <c r="E37" s="2" t="s">
        <v>572</v>
      </c>
    </row>
    <row r="38" spans="1:5" ht="27.6">
      <c r="A38" s="2" t="s">
        <v>59</v>
      </c>
      <c r="B38" s="2" t="s">
        <v>284</v>
      </c>
      <c r="C38" s="2" t="s">
        <v>106</v>
      </c>
      <c r="D38" s="2" t="s">
        <v>107</v>
      </c>
      <c r="E38" s="2" t="s">
        <v>573</v>
      </c>
    </row>
    <row r="39" spans="1:5">
      <c r="A39" s="2" t="s">
        <v>287</v>
      </c>
      <c r="B39" s="2" t="s">
        <v>288</v>
      </c>
      <c r="C39" s="2" t="s">
        <v>106</v>
      </c>
      <c r="D39" s="2" t="s">
        <v>107</v>
      </c>
      <c r="E39" s="2" t="s">
        <v>574</v>
      </c>
    </row>
    <row r="40" spans="1:5">
      <c r="A40" s="2" t="s">
        <v>287</v>
      </c>
      <c r="B40" s="2" t="s">
        <v>288</v>
      </c>
      <c r="C40" s="2" t="s">
        <v>135</v>
      </c>
      <c r="D40" s="2" t="s">
        <v>136</v>
      </c>
      <c r="E40" s="2" t="s">
        <v>575</v>
      </c>
    </row>
    <row r="41" spans="1:5">
      <c r="A41" s="2" t="s">
        <v>293</v>
      </c>
      <c r="B41" s="2" t="s">
        <v>294</v>
      </c>
      <c r="C41" s="2" t="s">
        <v>106</v>
      </c>
      <c r="D41" s="2" t="s">
        <v>107</v>
      </c>
      <c r="E41" s="2" t="s">
        <v>576</v>
      </c>
    </row>
    <row r="42" spans="1:5">
      <c r="A42" s="2" t="s">
        <v>304</v>
      </c>
      <c r="B42" s="2" t="s">
        <v>305</v>
      </c>
      <c r="C42" s="2" t="s">
        <v>106</v>
      </c>
      <c r="D42" s="2" t="s">
        <v>107</v>
      </c>
      <c r="E42" s="2" t="s">
        <v>577</v>
      </c>
    </row>
    <row r="43" spans="1:5">
      <c r="A43" s="2" t="s">
        <v>304</v>
      </c>
      <c r="B43" s="2" t="s">
        <v>305</v>
      </c>
      <c r="C43" s="2" t="s">
        <v>135</v>
      </c>
      <c r="D43" s="2" t="s">
        <v>136</v>
      </c>
      <c r="E43" s="2" t="s">
        <v>578</v>
      </c>
    </row>
    <row r="44" spans="1:5">
      <c r="A44" s="2" t="s">
        <v>310</v>
      </c>
      <c r="B44" s="2" t="s">
        <v>311</v>
      </c>
      <c r="C44" s="2" t="s">
        <v>106</v>
      </c>
      <c r="D44" s="2" t="s">
        <v>107</v>
      </c>
      <c r="E44" s="2" t="s">
        <v>579</v>
      </c>
    </row>
    <row r="45" spans="1:5">
      <c r="A45" s="2" t="s">
        <v>310</v>
      </c>
      <c r="B45" s="2" t="s">
        <v>311</v>
      </c>
      <c r="C45" s="2" t="s">
        <v>140</v>
      </c>
      <c r="D45" s="2" t="s">
        <v>141</v>
      </c>
      <c r="E45" s="2" t="s">
        <v>580</v>
      </c>
    </row>
    <row r="46" spans="1:5">
      <c r="A46" s="2" t="s">
        <v>319</v>
      </c>
      <c r="B46" s="2" t="s">
        <v>320</v>
      </c>
      <c r="C46" s="2" t="s">
        <v>106</v>
      </c>
      <c r="D46" s="2" t="s">
        <v>107</v>
      </c>
      <c r="E46" s="2" t="s">
        <v>581</v>
      </c>
    </row>
    <row r="47" spans="1:5">
      <c r="A47" s="2" t="s">
        <v>329</v>
      </c>
      <c r="B47" s="2" t="s">
        <v>330</v>
      </c>
      <c r="C47" s="2" t="s">
        <v>106</v>
      </c>
      <c r="D47" s="2" t="s">
        <v>107</v>
      </c>
      <c r="E47" s="2" t="s">
        <v>582</v>
      </c>
    </row>
    <row r="48" spans="1:5">
      <c r="A48" s="2" t="s">
        <v>329</v>
      </c>
      <c r="B48" s="2" t="s">
        <v>330</v>
      </c>
      <c r="C48" s="2" t="s">
        <v>128</v>
      </c>
      <c r="D48" s="2" t="s">
        <v>129</v>
      </c>
      <c r="E48" s="2" t="s">
        <v>583</v>
      </c>
    </row>
    <row r="49" spans="1:5">
      <c r="A49" s="2" t="s">
        <v>334</v>
      </c>
      <c r="B49" s="2" t="s">
        <v>335</v>
      </c>
      <c r="C49" s="2" t="s">
        <v>140</v>
      </c>
      <c r="D49" s="2" t="s">
        <v>141</v>
      </c>
      <c r="E49" s="2" t="s">
        <v>584</v>
      </c>
    </row>
    <row r="50" spans="1:5">
      <c r="A50" s="2" t="s">
        <v>344</v>
      </c>
      <c r="B50" s="2" t="s">
        <v>345</v>
      </c>
      <c r="C50" s="2" t="s">
        <v>44</v>
      </c>
      <c r="D50" s="2" t="s">
        <v>192</v>
      </c>
      <c r="E50" s="2" t="s">
        <v>585</v>
      </c>
    </row>
    <row r="51" spans="1:5" ht="27.6">
      <c r="A51" s="2" t="s">
        <v>344</v>
      </c>
      <c r="B51" s="2" t="s">
        <v>345</v>
      </c>
      <c r="C51" s="2" t="s">
        <v>407</v>
      </c>
      <c r="D51" s="2" t="s">
        <v>408</v>
      </c>
      <c r="E51" s="2" t="s">
        <v>586</v>
      </c>
    </row>
    <row r="52" spans="1:5">
      <c r="A52" s="2" t="s">
        <v>349</v>
      </c>
      <c r="B52" s="2" t="s">
        <v>350</v>
      </c>
      <c r="C52" s="2" t="s">
        <v>106</v>
      </c>
      <c r="D52" s="2" t="s">
        <v>107</v>
      </c>
      <c r="E52" s="2" t="s">
        <v>587</v>
      </c>
    </row>
    <row r="53" spans="1:5">
      <c r="A53" s="2" t="s">
        <v>349</v>
      </c>
      <c r="B53" s="2" t="s">
        <v>350</v>
      </c>
      <c r="C53" s="2" t="s">
        <v>135</v>
      </c>
      <c r="D53" s="2" t="s">
        <v>136</v>
      </c>
      <c r="E53" s="2" t="s">
        <v>588</v>
      </c>
    </row>
    <row r="54" spans="1:5">
      <c r="A54" s="2" t="s">
        <v>359</v>
      </c>
      <c r="B54" s="2" t="s">
        <v>360</v>
      </c>
      <c r="C54" s="2" t="s">
        <v>237</v>
      </c>
      <c r="D54" s="2" t="s">
        <v>238</v>
      </c>
      <c r="E54" s="2" t="s">
        <v>589</v>
      </c>
    </row>
    <row r="55" spans="1:5">
      <c r="A55" s="2" t="s">
        <v>365</v>
      </c>
      <c r="B55" s="2" t="s">
        <v>366</v>
      </c>
      <c r="C55" s="2" t="s">
        <v>140</v>
      </c>
      <c r="D55" s="2" t="s">
        <v>141</v>
      </c>
      <c r="E55" s="2" t="s">
        <v>590</v>
      </c>
    </row>
    <row r="56" spans="1:5">
      <c r="A56" s="2" t="s">
        <v>369</v>
      </c>
      <c r="B56" s="2" t="s">
        <v>370</v>
      </c>
      <c r="C56" s="2" t="s">
        <v>106</v>
      </c>
      <c r="D56" s="2" t="s">
        <v>107</v>
      </c>
      <c r="E56" s="2" t="s">
        <v>591</v>
      </c>
    </row>
    <row r="57" spans="1:5">
      <c r="A57" s="2" t="s">
        <v>369</v>
      </c>
      <c r="B57" s="2" t="s">
        <v>370</v>
      </c>
      <c r="C57" s="2" t="s">
        <v>135</v>
      </c>
      <c r="D57" s="2" t="s">
        <v>136</v>
      </c>
      <c r="E57" s="2" t="s">
        <v>592</v>
      </c>
    </row>
    <row r="58" spans="1:5">
      <c r="A58" s="2" t="s">
        <v>374</v>
      </c>
      <c r="B58" s="2" t="s">
        <v>375</v>
      </c>
      <c r="C58" s="2" t="s">
        <v>106</v>
      </c>
      <c r="D58" s="2" t="s">
        <v>107</v>
      </c>
      <c r="E58" s="2" t="s">
        <v>593</v>
      </c>
    </row>
    <row r="59" spans="1:5">
      <c r="A59" s="2" t="s">
        <v>380</v>
      </c>
      <c r="B59" s="2" t="s">
        <v>381</v>
      </c>
      <c r="C59" s="2" t="s">
        <v>106</v>
      </c>
      <c r="D59" s="2" t="s">
        <v>107</v>
      </c>
      <c r="E59" s="2" t="s">
        <v>594</v>
      </c>
    </row>
    <row r="60" spans="1:5">
      <c r="A60" s="2" t="s">
        <v>380</v>
      </c>
      <c r="B60" s="2" t="s">
        <v>381</v>
      </c>
      <c r="C60" s="2" t="s">
        <v>140</v>
      </c>
      <c r="D60" s="2" t="s">
        <v>141</v>
      </c>
      <c r="E60" s="2" t="s">
        <v>595</v>
      </c>
    </row>
    <row r="61" spans="1:5">
      <c r="A61" s="2" t="s">
        <v>385</v>
      </c>
      <c r="B61" s="2" t="s">
        <v>386</v>
      </c>
      <c r="C61" s="2" t="s">
        <v>53</v>
      </c>
      <c r="D61" s="2" t="s">
        <v>206</v>
      </c>
      <c r="E61" s="2" t="s">
        <v>596</v>
      </c>
    </row>
    <row r="62" spans="1:5">
      <c r="A62" s="2" t="s">
        <v>401</v>
      </c>
      <c r="B62" s="2" t="s">
        <v>402</v>
      </c>
      <c r="C62" s="2" t="s">
        <v>41</v>
      </c>
      <c r="D62" s="2" t="s">
        <v>159</v>
      </c>
      <c r="E62" s="2" t="s">
        <v>597</v>
      </c>
    </row>
    <row r="63" spans="1:5" ht="27.6">
      <c r="A63" s="2" t="s">
        <v>407</v>
      </c>
      <c r="B63" s="2" t="s">
        <v>408</v>
      </c>
      <c r="C63" s="2" t="s">
        <v>115</v>
      </c>
      <c r="D63" s="2" t="s">
        <v>116</v>
      </c>
      <c r="E63" s="2" t="s">
        <v>598</v>
      </c>
    </row>
    <row r="64" spans="1:5">
      <c r="A64" s="2" t="s">
        <v>407</v>
      </c>
      <c r="B64" s="2" t="s">
        <v>408</v>
      </c>
      <c r="C64" s="2" t="s">
        <v>135</v>
      </c>
      <c r="D64" s="2" t="s">
        <v>136</v>
      </c>
      <c r="E64" s="2" t="s">
        <v>599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Épicos</vt:lpstr>
      <vt:lpstr>Sprints</vt:lpstr>
      <vt:lpstr>Backlog Revisado</vt:lpstr>
      <vt:lpstr>US → RF</vt:lpstr>
      <vt:lpstr>RF → US</vt:lpstr>
      <vt:lpstr>Dependências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Da Silva Lopes Bezerra</cp:lastModifiedBy>
  <dcterms:modified xsi:type="dcterms:W3CDTF">2026-09-20T21:50:42Z</dcterms:modified>
</cp:coreProperties>
</file>